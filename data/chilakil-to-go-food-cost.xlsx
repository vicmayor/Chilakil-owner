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095d4a15e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redient Prices" sheetId="1" r:id="Rc03fafc544ac4796"/>
    <x:sheet xmlns:r="http://schemas.openxmlformats.org/officeDocument/2006/relationships" name="Recipe Costing" sheetId="2" r:id="Rc8c0b9f4268b4cde"/>
    <x:sheet xmlns:r="http://schemas.openxmlformats.org/officeDocument/2006/relationships" name="Menu Summary" sheetId="3" r:id="Rbb5f4fbfcb1647da"/>
    <x:sheet xmlns:r="http://schemas.openxmlformats.org/officeDocument/2006/relationships" name="How to Use" sheetId="4" r:id="R6988747c69cc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$#,##0.00;[Red]($#,##0.00);-"/>
    <x:numFmt numFmtId="165" formatCode="0.0%;[Red](0.0%);-"/>
    <x:numFmt numFmtId="166" formatCode="$0.00"/>
    <x:numFmt numFmtId="167" formatCode="$#,##0.00"/>
    <x:numFmt numFmtId="168" formatCode="0.0%"/>
    <x:numFmt numFmtId="200" formatCode="0.00"/>
    <x:numFmt numFmtId="201" formatCode="$0.0000"/>
  </x:numFmts>
  <x:fonts count="8">
    <x:font>
      <x:sz val="11"/>
      <x:name val="Carlito"/>
    </x:font>
    <x:font>
      <x:b/>
      <x:sz val="16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sz val="11"/>
      <x:color rgb="FF000000"/>
      <x:name val="Carlito"/>
    </x:font>
    <x:font>
      <x:b/>
      <x:color rgb="FFFFFFFF"/>
    </x:font>
    <x:font>
      <x:b/>
    </x:font>
  </x:fonts>
  <x:fills count="12">
    <x:fill>
      <x:patternFill patternType="none"/>
    </x:fill>
    <x:fill>
      <x:patternFill patternType="gray125"/>
    </x:fill>
    <x:fill>
      <x:patternFill patternType="solid">
        <x:fgColor rgb="FFF4C430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  <x:fill>
      <x:patternFill patternType="solid">
        <x:fgColor rgb="FF111111"/>
      </x:patternFill>
    </x:fill>
  </x:fills>
  <x:borders count="3">
    <x:border/>
    <x:border/>
    <x:border>
      <x:top style="thin">
        <x:color rgb="FF000000"/>
      </x:top>
    </x:border>
  </x:borders>
  <x:cellStyleXfs count="1">
    <x:xf numFmtId="0" fontId="0" fillId="0" borderId="1"/>
  </x:cellStyleXfs>
  <x:cellXfs count="12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2" fillId="3" borderId="0" xfId="0" applyAlignment="1">
      <x:alignment horizontal="center"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0" fontId="3" fillId="0" borderId="0" xfId="0"/>
    <x:xf numFmtId="164" fontId="3" fillId="0" borderId="0" xfId="0"/>
    <x:xf numFmtId="165" fontId="3" fillId="0" borderId="0" xfId="0"/>
    <x:xf numFmtId="0" fontId="3" fillId="0" borderId="1" xfId="0"/>
    <x:xf numFmtId="164" fontId="3" fillId="0" borderId="1" xfId="0"/>
    <x:xf numFmtId="165" fontId="3" fillId="0" borderId="1" xfId="0"/>
    <x:xf numFmtId="0" fontId="0" fillId="0" borderId="0" xfId="0"/>
    <x:xf numFmtId="0" fontId="0" fillId="4" borderId="0" xfId="0"/>
    <x:xf numFmtId="0" fontId="2" fillId="4" borderId="0" xfId="0"/>
    <x:xf numFmtId="0" fontId="2" fillId="4" borderId="0" xfId="0" applyAlignment="1">
      <x:alignment horizontal="center"/>
    </x:xf>
    <x:xf numFmtId="166" fontId="0" fillId="0" borderId="0" xfId="0"/>
    <x:xf numFmtId="0" fontId="2" fillId="3" borderId="0" xfId="0" applyAlignment="1">
      <x:alignment horizontal="center"/>
    </x:xf>
    <x:xf numFmtId="0" fontId="0" fillId="5" borderId="0" xfId="0"/>
    <x:xf numFmtId="0" fontId="2" fillId="5" borderId="0" xfId="0"/>
    <x:xf numFmtId="0" fontId="2" fillId="5" borderId="0" xfId="0" applyAlignment="1">
      <x:alignment horizontal="center"/>
    </x:xf>
    <x:xf numFmtId="0" fontId="0" fillId="6" borderId="0" xfId="0"/>
    <x:xf numFmtId="0" fontId="2" fillId="6" borderId="0" xfId="0"/>
    <x:xf numFmtId="0" fontId="2" fillId="6" borderId="0" xfId="0" applyAlignment="1">
      <x:alignment horizontal="center"/>
    </x:xf>
    <x:xf numFmtId="0" fontId="4" fillId="0" borderId="0" xfId="0"/>
    <x:xf numFmtId="0" fontId="4" fillId="0" borderId="2" xfId="0"/>
    <x:xf numFmtId="164" fontId="4" fillId="0" borderId="2" xfId="0"/>
    <x:xf numFmtId="164" fontId="5" fillId="0" borderId="0" xfId="0"/>
    <x:xf numFmtId="0" fontId="0" fillId="7" borderId="0" xfId="0"/>
    <x:xf numFmtId="0" fontId="2" fillId="7" borderId="0" xfId="0"/>
    <x:xf numFmtId="0" fontId="2" fillId="7" borderId="0" xfId="0" applyAlignment="1">
      <x:alignment horizontal="center"/>
    </x:xf>
    <x:xf numFmtId="167" fontId="0" fillId="0" borderId="0" xfId="0"/>
    <x:xf numFmtId="167" fontId="3" fillId="0" borderId="0" xfId="0"/>
    <x:xf numFmtId="167" fontId="5" fillId="0" borderId="0" xfId="0"/>
    <x:xf numFmtId="0" fontId="0" fillId="8" borderId="0" xfId="0"/>
    <x:xf numFmtId="0" fontId="2" fillId="8" borderId="0" xfId="0"/>
    <x:xf numFmtId="0" fontId="2" fillId="8" borderId="0" xfId="0" applyAlignment="1">
      <x:alignment wrapText="1"/>
    </x:xf>
    <x:xf numFmtId="0" fontId="2" fillId="8" borderId="0" xfId="0" applyAlignment="1">
      <x:alignment horizontal="center" wrapText="1"/>
    </x:xf>
    <x:xf numFmtId="0" fontId="5" fillId="0" borderId="0" xfId="0"/>
    <x:xf numFmtId="166" fontId="3" fillId="0" borderId="0" xfId="0"/>
    <x:xf numFmtId="168" fontId="0" fillId="0" borderId="0" xfId="0"/>
    <x:xf numFmtId="0" fontId="0" fillId="9" borderId="0" xfId="0"/>
    <x:xf numFmtId="0" fontId="2" fillId="9" borderId="0" xfId="0"/>
    <x:xf numFmtId="0" fontId="2" fillId="9" borderId="0" xfId="0" applyAlignment="1">
      <x:alignment horizontal="center"/>
    </x:xf>
    <x:xf numFmtId="166" fontId="4" fillId="0" borderId="0" xfId="0"/>
    <x:xf numFmtId="0" fontId="0" fillId="10" borderId="0" xfId="0"/>
    <x:xf numFmtId="0" fontId="2" fillId="10" borderId="0" xfId="0"/>
    <x:xf numFmtId="0" fontId="2" fillId="10" borderId="0" xfId="0" applyAlignment="1">
      <x:alignment horizontal="center"/>
    </x:xf>
    <x:xf numFmtId="168" fontId="5" fillId="0" borderId="0" xfId="0"/>
    <x:xf numFmtId="0" fontId="2" fillId="10" borderId="0" xfId="0" applyAlignment="1">
      <x:alignment wrapText="1"/>
    </x:xf>
    <x:xf numFmtId="0" fontId="2" fillId="10" borderId="0" xfId="0" applyAlignment="1">
      <x:alignment horizontal="center" wrapText="1"/>
    </x:xf>
    <x:xf numFmtId="164" fontId="3" fillId="0" borderId="0" xfId="0"/>
    <x:xf numFmtId="165" fontId="3" fillId="0" borderId="0" xfId="0"/>
    <x:xf numFmtId="164" fontId="5" fillId="0" borderId="0" xfId="0"/>
    <x:xf numFmtId="166" fontId="0" fillId="0" borderId="0" xfId="0"/>
    <x:xf numFmtId="164" fontId="0" fillId="0" borderId="0" xfId="0"/>
    <x:xf numFmtId="166" fontId="3" fillId="0" borderId="0" xfId="0"/>
    <x:xf numFmtId="165" fontId="0" fillId="0" borderId="0" xfId="0"/>
    <x:xf numFmtId="167" fontId="0" fillId="0" borderId="0" xfId="0"/>
    <x:xf numFmtId="168" fontId="0" fillId="0" borderId="0" xfId="0"/>
    <x:xf numFmtId="164" fontId="4" fillId="0" borderId="2" xfId="0"/>
    <x:xf numFmtId="166" fontId="4" fillId="0" borderId="0" xfId="0"/>
    <x:xf numFmtId="167" fontId="3" fillId="0" borderId="0" xfId="0"/>
    <x:xf numFmtId="167" fontId="5" fillId="0" borderId="0" xfId="0"/>
    <x:xf numFmtId="0" fontId="6" fillId="11" borderId="0" xfId="0" applyAlignment="1">
      <x:alignment horizontal="center" wrapText="1"/>
    </x:xf>
    <x:xf numFmtId="0" fontId="7" fillId="0" borderId="0" xfId="0"/>
    <x:xf numFmtId="166" fontId="7" fillId="0" borderId="0" xfId="0"/>
    <x:xf numFmtId="168" fontId="5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3" fillId="0" borderId="0" xfId="0" applyNumberFormat="1" applyFont="1" applyFill="1" applyBorder="1"/>
    <x:xf numFmtId="164" fontId="3" fillId="0" borderId="0" xfId="0" applyNumberFormat="1" applyFont="1" applyFill="1" applyBorder="1"/>
    <x:xf numFmtId="165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166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164" fontId="4" fillId="0" borderId="2" xfId="0" applyNumberFormat="1" applyFont="1" applyFill="1" applyBorder="1"/>
    <x:xf numFmtId="164" fontId="5" fillId="0" borderId="0" xfId="0" applyNumberFormat="1" applyFont="1" applyFill="1" applyBorder="1"/>
    <x:xf numFmtId="167" fontId="0" fillId="0" borderId="0" xfId="0" applyNumberFormat="1" applyFont="1" applyFill="1" applyBorder="1"/>
    <x:xf numFmtId="167" fontId="3" fillId="0" borderId="0" xfId="0" applyNumberFormat="1" applyFont="1" applyFill="1" applyBorder="1"/>
    <x:xf numFmtId="167" fontId="5" fillId="0" borderId="0" xfId="0" applyNumberFormat="1" applyFont="1" applyFill="1" applyBorder="1"/>
    <x:xf numFmtId="0" fontId="5" fillId="0" borderId="0" xfId="0" applyNumberFormat="1" applyFont="1" applyFill="1" applyBorder="1"/>
    <x:xf numFmtId="166" fontId="3" fillId="0" borderId="0" xfId="0" applyNumberFormat="1" applyFont="1" applyFill="1" applyBorder="1"/>
    <x:xf numFmtId="168" fontId="0" fillId="0" borderId="0" xfId="0" applyNumberFormat="1" applyFont="1" applyFill="1" applyBorder="1"/>
    <x:xf numFmtId="166" fontId="4" fillId="0" borderId="0" xfId="0" applyNumberFormat="1" applyFont="1" applyFill="1" applyBorder="1"/>
    <x:xf numFmtId="168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166" fontId="7" fillId="0" borderId="0" xfId="0" applyNumberFormat="1" applyFont="1" applyFill="1" applyBorder="1"/>
    <x:xf numFmtId="166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7" fillId="0" borderId="0" xfId="0" applyNumberFormat="1" applyFont="1" applyFill="1" applyBorder="1"/>
    <x:xf numFmtId="201" fontId="3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B91C1C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df1f989824dca" /><Relationship Type="http://schemas.openxmlformats.org/officeDocument/2006/relationships/theme" Target="/xl/theme/theme1.xml" Id="R9cadd6c224d14696" /><Relationship Type="http://schemas.openxmlformats.org/officeDocument/2006/relationships/sharedStrings" Target="/xl/sharedStrings.xml" Id="R41a408f87019466f" /><Relationship Type="http://schemas.openxmlformats.org/officeDocument/2006/relationships/worksheet" Target="/xl/worksheets/sheet1.xml" Id="Rc03fafc544ac4796" /><Relationship Type="http://schemas.openxmlformats.org/officeDocument/2006/relationships/worksheet" Target="/xl/worksheets/sheet2.xml" Id="Rc8c0b9f4268b4cde" /><Relationship Type="http://schemas.openxmlformats.org/officeDocument/2006/relationships/worksheet" Target="/xl/worksheets/sheet3.xml" Id="Rbb5f4fbfcb1647da" /><Relationship Type="http://schemas.openxmlformats.org/officeDocument/2006/relationships/worksheet" Target="/xl/worksheets/sheet4.xml" Id="R6988747c69cc4533" /></Relationships>
</file>

<file path=xl/tables/table1.xml><?xml version="1.0" encoding="utf-8"?>
<x:table xmlns:x="http://schemas.openxmlformats.org/spreadsheetml/2006/main" id="1" name="IngredientPriceTable" displayName="IngredientPriceTable" ref="A2:H24" headerRowCount="1" totalsRowCount="0" totalsRowShown="0">
  <x:tableColumns count="8">
    <x:tableColumn id="1" name="Ingredient"/>
    <x:tableColumn id="2" name="Vendor"/>
    <x:tableColumn id="3" name="Purchase Qty"/>
    <x:tableColumn id="4" name="Purchase Unit"/>
    <x:tableColumn id="5" name="Purchase Cost ($)"/>
    <x:tableColumn id="6" name="Yield %"/>
    <x:tableColumn id="7" name="Cost per Usable Unit ($)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nuSummaryTable" displayName="MenuSummaryTable" ref="A2:H9" headerRowCount="1" totalsRowCount="0" totalsRowShown="0">
  <x:tableColumns count="8">
    <x:tableColumn id="1" name="Menu Item"/>
    <x:tableColumn id="2" name="Recipe Food Cost ($)"/>
    <x:tableColumn id="3" name="Packaging ($)"/>
    <x:tableColumn id="4" name="Total Cost ($)"/>
    <x:tableColumn id="5" name="Selling Price ($)"/>
    <x:tableColumn id="6" name="Food Cost %"/>
    <x:tableColumn id="7" name="Gross Profit ($)"/>
    <x:tableColumn id="8" name="Suggested Price @ 30% ($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addff4bd614e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23f110fa5047c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30" customWidth="1"/>
    <x:col min="2" max="2" width="22" style="30" customWidth="1"/>
    <x:col min="3" max="3" width="13" style="30" customWidth="1"/>
    <x:col min="4" max="4" width="14" style="30" customWidth="1"/>
    <x:col min="5" max="5" width="16" style="30" customWidth="1"/>
    <x:col min="6" max="6" width="10" style="30" customWidth="1"/>
    <x:col min="7" max="7" width="20" style="30" customWidth="1"/>
    <x:col min="8" max="8" width="30" style="30" customWidth="1"/>
    <x:col min="9" max="9" width="16" style="30" customWidth="1"/>
    <x:col min="10" max="10" width="28" style="30" customWidth="1"/>
    <x:col min="11" max="11" width="18" style="30" customWidth="1"/>
  </x:cols>
  <x:sheetData>
    <x:row r="1">
      <x:c r="A1" s="9" t="inlineStr">
        <x:is>
          <x:t xml:space="preserve">CHILAKIL TO GO — INGREDIENT PRICE LIST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4" t="inlineStr">
        <x:is>
          <x:t xml:space="preserve">Ingredient</x:t>
        </x:is>
      </x:c>
      <x:c r="B2" s="14" t="inlineStr">
        <x:is>
          <x:t xml:space="preserve">Vendor</x:t>
        </x:is>
      </x:c>
      <x:c r="C2" s="14" t="inlineStr">
        <x:is>
          <x:t xml:space="preserve">Purchase Qty</x:t>
        </x:is>
      </x:c>
      <x:c r="D2" s="14" t="inlineStr">
        <x:is>
          <x:t xml:space="preserve">Purchase Unit</x:t>
        </x:is>
      </x:c>
      <x:c r="E2" s="14" t="inlineStr">
        <x:is>
          <x:t xml:space="preserve">Purchase Cost ($)</x:t>
        </x:is>
      </x:c>
      <x:c r="F2" s="14" t="inlineStr">
        <x:is>
          <x:t xml:space="preserve">Yield %</x:t>
        </x:is>
      </x:c>
      <x:c r="G2" s="14" t="inlineStr">
        <x:is>
          <x:t xml:space="preserve">Cost per Usable Unit ($)</x:t>
        </x:is>
      </x:c>
      <x:c r="H2" s="14" t="inlineStr">
        <x:is>
          <x:t xml:space="preserve">Notes</x:t>
        </x:is>
      </x:c>
      <x:c r="I2" s="55" t="inlineStr">
        <x:is>
          <x:t xml:space="preserve">Add-On Price ($)</x:t>
        </x:is>
      </x:c>
      <x:c r="J2" s="33" t="inlineStr">
        <x:is>
          <x:t xml:space="preserve">Cheese Portion Reference</x:t>
        </x:is>
      </x:c>
      <x:c r="K2" s="33" t="inlineStr">
        <x:is>
          <x:t xml:space="preserve">Value</x:t>
        </x:is>
      </x:c>
    </x:row>
    <x:row r="3">
      <x:c r="A3" s="24" t="inlineStr">
        <x:is>
          <x:t xml:space="preserve">Tortillas / Chips</x:t>
        </x:is>
      </x:c>
      <x:c r="B3" s="24" t="str"/>
      <x:c r="C3" s="24" t="n">
        <x:v>90</x:v>
      </x:c>
      <x:c r="D3" s="24" t="inlineStr">
        <x:is>
          <x:t xml:space="preserve">order</x:t>
        </x:is>
      </x:c>
      <x:c r="E3" s="69" t="n">
        <x:v>65.09999999999999</x:v>
      </x:c>
      <x:c r="F3" s="70" t="n">
        <x:v>1</x:v>
      </x:c>
      <x:c r="G3" s="71" t="n">
        <x:f>IFERROR(E3/C3/F3,0)</x:f>
        <x:v>0.7233333333333333</x:v>
      </x:c>
      <x:c r="H3" s="24" t="inlineStr">
        <x:is>
          <x:t xml:space="preserve">21 packages x $3.10 makes about 90 chilaquiles boxes</x:t>
        </x:is>
      </x:c>
      <x:c r="J3" t="inlineStr">
        <x:is>
          <x:t xml:space="preserve">Portion per order (oz)</x:t>
        </x:is>
      </x:c>
      <x:c r="K3" t="n">
        <x:v>6</x:v>
      </x:c>
    </x:row>
    <x:row r="4">
      <x:c r="A4" s="24" t="inlineStr">
        <x:is>
          <x:t xml:space="preserve">Average Protein</x:t>
        </x:is>
      </x:c>
      <x:c r="B4" s="24" t="str"/>
      <x:c r="C4" s="24" t="n">
        <x:v>16</x:v>
      </x:c>
      <x:c r="D4" s="24" t="inlineStr">
        <x:is>
          <x:t xml:space="preserve">oz</x:t>
        </x:is>
      </x:c>
      <x:c r="E4" s="69" t="n">
        <x:v>8</x:v>
      </x:c>
      <x:c r="F4" s="70" t="n">
        <x:v>1</x:v>
      </x:c>
      <x:c r="G4" s="71" t="n">
        <x:f>IFERROR(E4/C4/F4,0)</x:f>
        <x:v>0.5</x:v>
      </x:c>
      <x:c r="H4" s="24" t="inlineStr">
        <x:is>
          <x:t xml:space="preserve">Average meat cost; 4 oz portion when protein is added</x:t>
        </x:is>
      </x:c>
      <x:c r="J4" t="inlineStr">
        <x:is>
          <x:t xml:space="preserve">Cost per 6 oz portion ($)</x:t>
        </x:is>
      </x:c>
      <x:c r="K4" s="72" t="n">
        <x:f>IFERROR(($E$8/($C$8*16))*K3,0)</x:f>
        <x:v>0.05859375</x:v>
      </x:c>
    </x:row>
    <x:row r="5">
      <x:c r="A5" s="24" t="inlineStr">
        <x:is>
          <x:t xml:space="preserve">Al Pastor</x:t>
        </x:is>
      </x:c>
      <x:c r="B5" s="24" t="str"/>
      <x:c r="C5" s="24" t="n">
        <x:v>1</x:v>
      </x:c>
      <x:c r="D5" s="24" t="inlineStr">
        <x:is>
          <x:t xml:space="preserve">lb</x:t>
        </x:is>
      </x:c>
      <x:c r="E5" s="69" t="n"/>
      <x:c r="F5" s="70" t="n">
        <x:v>1</x:v>
      </x:c>
      <x:c r="G5" s="71" t="n">
        <x:f>IFERROR(E5/C5/F5,0)</x:f>
        <x:v>0</x:v>
      </x:c>
      <x:c r="H5" s="24" t="str"/>
    </x:row>
    <x:row r="6">
      <x:c r="A6" s="24" t="inlineStr">
        <x:is>
          <x:t xml:space="preserve">Chicken</x:t>
        </x:is>
      </x:c>
      <x:c r="B6" s="24" t="str"/>
      <x:c r="C6" s="24" t="n">
        <x:v>1</x:v>
      </x:c>
      <x:c r="D6" s="24" t="inlineStr">
        <x:is>
          <x:t xml:space="preserve">lb</x:t>
        </x:is>
      </x:c>
      <x:c r="E6" s="69" t="n"/>
      <x:c r="F6" s="70" t="n">
        <x:v>1</x:v>
      </x:c>
      <x:c r="G6" s="71" t="n">
        <x:f>IFERROR(E6/C6/F6,0)</x:f>
        <x:v>0</x:v>
      </x:c>
      <x:c r="H6" s="24" t="str"/>
      <x:c r="J6" s="38" t="inlineStr">
        <x:is>
          <x:t xml:space="preserve">Sour Cream Portion Reference</x:t>
        </x:is>
      </x:c>
      <x:c r="K6" s="38" t="inlineStr">
        <x:is>
          <x:t xml:space="preserve">Value</x:t>
        </x:is>
      </x:c>
    </x:row>
    <x:row r="7">
      <x:c r="A7" s="24" t="inlineStr">
        <x:is>
          <x:t xml:space="preserve">Chorizo</x:t>
        </x:is>
      </x:c>
      <x:c r="B7" s="24" t="str"/>
      <x:c r="C7" s="24" t="n">
        <x:v>1</x:v>
      </x:c>
      <x:c r="D7" s="24" t="inlineStr">
        <x:is>
          <x:t xml:space="preserve">lb</x:t>
        </x:is>
      </x:c>
      <x:c r="E7" s="69" t="n"/>
      <x:c r="F7" s="70" t="n">
        <x:v>1</x:v>
      </x:c>
      <x:c r="G7" s="71" t="n">
        <x:f>IFERROR(E7/C7/F7,0)</x:f>
        <x:v>0</x:v>
      </x:c>
      <x:c r="H7" s="24" t="str"/>
      <x:c r="J7" t="inlineStr">
        <x:is>
          <x:t xml:space="preserve">Portion per order (oz)</x:t>
        </x:is>
      </x:c>
      <x:c r="K7" t="n">
        <x:v>3</x:v>
      </x:c>
    </x:row>
    <x:row r="8">
      <x:c r="A8" s="24" t="inlineStr">
        <x:is>
          <x:t xml:space="preserve">Monterey Jack Cheese</x:t>
        </x:is>
      </x:c>
      <x:c r="B8" s="24" t="inlineStr">
        <x:is>
          <x:t xml:space="preserve">Smart &amp; Final</x:t>
        </x:is>
      </x:c>
      <x:c r="C8" s="24" t="n">
        <x:v>80</x:v>
      </x:c>
      <x:c r="D8" s="24" t="inlineStr">
        <x:is>
          <x:t xml:space="preserve">oz</x:t>
        </x:is>
      </x:c>
      <x:c r="E8" s="69" t="n">
        <x:v>12.5</x:v>
      </x:c>
      <x:c r="F8" s="70" t="n">
        <x:v>1</x:v>
      </x:c>
      <x:c r="G8" s="71" t="n">
        <x:f>IFERROR(E8/C8/F8,0)</x:f>
        <x:v>0.15625</x:v>
      </x:c>
      <x:c r="H8" s="24" t="inlineStr">
        <x:is>
          <x:t xml:space="preserve">Fancy Monterey Jack; 5 lb bag; user-provided price</x:t>
        </x:is>
      </x:c>
      <x:c r="J8" t="inlineStr">
        <x:is>
          <x:t xml:space="preserve">Cost per 3 oz portion ($)</x:t>
        </x:is>
      </x:c>
      <x:c r="K8" s="72" t="n">
        <x:f>IFERROR($G$10*K7,0)</x:f>
        <x:v>0.5531250000000001</x:v>
      </x:c>
    </x:row>
    <x:row r="9">
      <x:c r="A9" s="24" t="inlineStr">
        <x:is>
          <x:t xml:space="preserve">Cotija Cheese</x:t>
        </x:is>
      </x:c>
      <x:c r="B9" s="24" t="str"/>
      <x:c r="C9" s="24" t="n">
        <x:v>1</x:v>
      </x:c>
      <x:c r="D9" s="24" t="inlineStr">
        <x:is>
          <x:t xml:space="preserve">lb</x:t>
        </x:is>
      </x:c>
      <x:c r="E9" s="69" t="n"/>
      <x:c r="F9" s="70" t="n">
        <x:v>1</x:v>
      </x:c>
      <x:c r="G9" s="71" t="n">
        <x:f>IFERROR(E9/C9/F9,0)</x:f>
        <x:v>0</x:v>
      </x:c>
      <x:c r="H9" s="24" t="str"/>
    </x:row>
    <x:row r="10">
      <x:c r="A10" s="24" t="inlineStr">
        <x:is>
          <x:t xml:space="preserve">Sour Cream</x:t>
        </x:is>
      </x:c>
      <x:c r="B10" s="24" t="str"/>
      <x:c r="C10" s="24" t="n">
        <x:v>16</x:v>
      </x:c>
      <x:c r="D10" s="24" t="inlineStr">
        <x:is>
          <x:t xml:space="preserve">oz</x:t>
        </x:is>
      </x:c>
      <x:c r="E10" s="69" t="n">
        <x:v>2.95</x:v>
      </x:c>
      <x:c r="F10" s="70" t="n">
        <x:v>1</x:v>
      </x:c>
      <x:c r="G10" s="71" t="n">
        <x:f>IFERROR(E10/C10/F10,0)</x:f>
        <x:v>0.184375</x:v>
      </x:c>
      <x:c r="H10" s="24" t="inlineStr">
        <x:is>
          <x:t xml:space="preserve">16 oz bottle; user-provided price</x:t>
        </x:is>
      </x:c>
    </x:row>
    <x:row r="11">
      <x:c r="A11" s="24" t="inlineStr">
        <x:is>
          <x:t xml:space="preserve">Salsa (incl. production labor)</x:t>
        </x:is>
      </x:c>
      <x:c r="B11" s="24" t="str"/>
      <x:c r="C11" s="24" t="n">
        <x:v>8960</x:v>
      </x:c>
      <x:c r="D11" s="24" t="inlineStr">
        <x:is>
          <x:t xml:space="preserve">oz</x:t>
        </x:is>
      </x:c>
      <x:c r="E11" s="69" t="n">
        <x:v>820</x:v>
      </x:c>
      <x:c r="F11" s="70" t="n">
        <x:v>1</x:v>
      </x:c>
      <x:c r="G11" s="71" t="n">
        <x:f>IFERROR(E11/C11/F11,0)</x:f>
        <x:v>0.09151785714285714</x:v>
      </x:c>
      <x:c r="H11" s="24" t="inlineStr">
        <x:is>
          <x:t xml:space="preserve">$650 produce + $170 labor; 70 gallons total; 8 oz per order</x:t>
        </x:is>
      </x:c>
    </x:row>
    <x:row r="12">
      <x:c r="A12" s="24" t="inlineStr">
        <x:is>
          <x:t xml:space="preserve">Red Salsa</x:t>
        </x:is>
      </x:c>
      <x:c r="B12" s="24" t="str"/>
      <x:c r="C12" s="24" t="n">
        <x:v>1</x:v>
      </x:c>
      <x:c r="D12" s="24" t="inlineStr">
        <x:is>
          <x:t xml:space="preserve">oz</x:t>
        </x:is>
      </x:c>
      <x:c r="E12" s="69" t="n"/>
      <x:c r="F12" s="70" t="n">
        <x:v>1</x:v>
      </x:c>
      <x:c r="G12" s="71" t="n">
        <x:f>IFERROR(E12/C12/F12,0)</x:f>
        <x:v>0</x:v>
      </x:c>
      <x:c r="H12" s="24" t="inlineStr">
        <x:is>
          <x:t xml:space="preserve">Finished salsa batch cost</x:t>
        </x:is>
      </x:c>
    </x:row>
    <x:row r="13">
      <x:c r="A13" s="24" t="inlineStr">
        <x:is>
          <x:t xml:space="preserve">Chipotle Salsa</x:t>
        </x:is>
      </x:c>
      <x:c r="B13" s="24" t="str"/>
      <x:c r="C13" s="24" t="n">
        <x:v>1</x:v>
      </x:c>
      <x:c r="D13" s="24" t="inlineStr">
        <x:is>
          <x:t xml:space="preserve">oz</x:t>
        </x:is>
      </x:c>
      <x:c r="E13" s="69" t="n"/>
      <x:c r="F13" s="70" t="n">
        <x:v>1</x:v>
      </x:c>
      <x:c r="G13" s="71" t="n">
        <x:f>IFERROR(E13/C13/F13,0)</x:f>
        <x:v>0</x:v>
      </x:c>
      <x:c r="H13" s="24" t="inlineStr">
        <x:is>
          <x:t xml:space="preserve">Finished salsa batch cost</x:t>
        </x:is>
      </x:c>
    </x:row>
    <x:row r="14">
      <x:c r="A14" s="24" t="inlineStr">
        <x:is>
          <x:t xml:space="preserve">Egg</x:t>
        </x:is>
      </x:c>
      <x:c r="B14" s="24" t="str"/>
      <x:c r="C14" s="24" t="n">
        <x:v>1</x:v>
      </x:c>
      <x:c r="D14" s="24" t="inlineStr">
        <x:is>
          <x:t xml:space="preserve">each</x:t>
        </x:is>
      </x:c>
      <x:c r="E14" s="69" t="n"/>
      <x:c r="F14" s="70" t="n">
        <x:v>1</x:v>
      </x:c>
      <x:c r="G14" s="71" t="n">
        <x:f>IFERROR(E14/C14/F14,0)</x:f>
        <x:v>0</x:v>
      </x:c>
      <x:c r="H14" s="24" t="str"/>
    </x:row>
    <x:row r="15">
      <x:c r="A15" s="24" t="inlineStr">
        <x:is>
          <x:t xml:space="preserve">Beans</x:t>
        </x:is>
      </x:c>
      <x:c r="B15" s="24" t="str"/>
      <x:c r="C15" s="24" t="n">
        <x:v>1</x:v>
      </x:c>
      <x:c r="D15" s="24" t="inlineStr">
        <x:is>
          <x:t xml:space="preserve">oz</x:t>
        </x:is>
      </x:c>
      <x:c r="E15" s="69" t="n"/>
      <x:c r="F15" s="70" t="n">
        <x:v>1</x:v>
      </x:c>
      <x:c r="G15" s="71" t="n">
        <x:f>IFERROR(E15/C15/F15,0)</x:f>
        <x:v>0</x:v>
      </x:c>
      <x:c r="H15" s="24" t="str"/>
    </x:row>
    <x:row r="16">
      <x:c r="A16" s="24" t="inlineStr">
        <x:is>
          <x:t xml:space="preserve">Red Onion</x:t>
        </x:is>
      </x:c>
      <x:c r="B16" s="24" t="inlineStr">
        <x:is>
          <x:t xml:space="preserve">Falcon Distributors</x:t>
        </x:is>
      </x:c>
      <x:c r="C16" s="24" t="n">
        <x:v>16</x:v>
      </x:c>
      <x:c r="D16" s="24" t="inlineStr">
        <x:is>
          <x:t xml:space="preserve">oz</x:t>
        </x:is>
      </x:c>
      <x:c r="E16" s="69" t="n">
        <x:v>0.7</x:v>
      </x:c>
      <x:c r="F16" s="70" t="n">
        <x:v>1</x:v>
      </x:c>
      <x:c r="G16" s="71" t="n">
        <x:f>IFERROR(E16/C16/F16,0)</x:f>
        <x:v>0.04375</x:v>
      </x:c>
      <x:c r="H16" s="24" t="inlineStr">
        <x:is>
          <x:t xml:space="preserve">Approx. $0.70/lb; 4 oz portion per order</x:t>
        </x:is>
      </x:c>
    </x:row>
    <x:row r="17">
      <x:c r="A17" s="24" t="inlineStr">
        <x:is>
          <x:t xml:space="preserve">Cilantro</x:t>
        </x:is>
      </x:c>
      <x:c r="B17" s="24" t="inlineStr">
        <x:is>
          <x:t xml:space="preserve">Falcon Distributors</x:t>
        </x:is>
      </x:c>
      <x:c r="C17" s="24" t="n">
        <x:v>16</x:v>
      </x:c>
      <x:c r="D17" s="24" t="inlineStr">
        <x:is>
          <x:t xml:space="preserve">oz</x:t>
        </x:is>
      </x:c>
      <x:c r="E17" s="69" t="n">
        <x:v>2</x:v>
      </x:c>
      <x:c r="F17" s="70" t="n">
        <x:v>1</x:v>
      </x:c>
      <x:c r="G17" s="71" t="n">
        <x:f>IFERROR(E17/C17/F17,0)</x:f>
        <x:v>0.125</x:v>
      </x:c>
      <x:c r="H17" s="24" t="inlineStr">
        <x:is>
          <x:t xml:space="preserve">$0.50 each; approx. 4 bunches = 1 lb; 4 oz portion per order</x:t>
        </x:is>
      </x:c>
    </x:row>
    <x:row r="18">
      <x:c r="A18" s="24" t="inlineStr">
        <x:is>
          <x:t xml:space="preserve">12–14 in Tortilla</x:t>
        </x:is>
      </x:c>
      <x:c r="B18" s="24" t="str"/>
      <x:c r="C18" s="24" t="n">
        <x:v>1</x:v>
      </x:c>
      <x:c r="D18" s="24" t="inlineStr">
        <x:is>
          <x:t xml:space="preserve">each</x:t>
        </x:is>
      </x:c>
      <x:c r="E18" s="69" t="n"/>
      <x:c r="F18" s="70" t="n">
        <x:v>1</x:v>
      </x:c>
      <x:c r="G18" s="71" t="n">
        <x:f>IFERROR(E18/C18/F18,0)</x:f>
        <x:v>0</x:v>
      </x:c>
      <x:c r="H18" s="24" t="str"/>
    </x:row>
    <x:row r="19">
      <x:c r="A19" s="24" t="inlineStr">
        <x:is>
          <x:t xml:space="preserve">Tater Tots</x:t>
        </x:is>
      </x:c>
      <x:c r="B19" s="24" t="str"/>
      <x:c r="C19" s="24" t="n">
        <x:v>1</x:v>
      </x:c>
      <x:c r="D19" s="24" t="inlineStr">
        <x:is>
          <x:t xml:space="preserve">oz</x:t>
        </x:is>
      </x:c>
      <x:c r="E19" s="69" t="n"/>
      <x:c r="F19" s="70" t="n">
        <x:v>1</x:v>
      </x:c>
      <x:c r="G19" s="71" t="n">
        <x:f>IFERROR(E19/C19/F19,0)</x:f>
        <x:v>0</x:v>
      </x:c>
      <x:c r="H19" s="24" t="str"/>
    </x:row>
    <x:row r="20">
      <x:c r="A20" s="24" t="inlineStr">
        <x:is>
          <x:t xml:space="preserve">Frying Oil</x:t>
        </x:is>
      </x:c>
      <x:c r="B20" s="24" t="str"/>
      <x:c r="C20" s="24" t="n">
        <x:v>400</x:v>
      </x:c>
      <x:c r="D20" s="24" t="inlineStr">
        <x:is>
          <x:t xml:space="preserve">order</x:t>
        </x:is>
      </x:c>
      <x:c r="E20" s="69" t="n">
        <x:v>36</x:v>
      </x:c>
      <x:c r="F20" s="70" t="n">
        <x:v>1</x:v>
      </x:c>
      <x:c r="G20" s="71" t="n">
        <x:f>IFERROR(E20/C20/F20,0)</x:f>
        <x:v>0.09</x:v>
      </x:c>
      <x:c r="H20" s="24" t="inlineStr">
        <x:is>
          <x:t xml:space="preserve">5-gallon bucket; about 400 chilaquiles boxes</x:t>
        </x:is>
      </x:c>
    </x:row>
    <x:row r="21">
      <x:c r="A21" s="24" t="str">
        <x:v>Breakfast Sausage</x:v>
      </x:c>
      <x:c r="B21" s="24" t="str">
        <x:v>Good Morning Sunrise</x:v>
      </x:c>
      <x:c r="C21" s="24" t="n">
        <x:v>200</x:v>
      </x:c>
      <x:c r="D21" s="24" t="str">
        <x:v>each</x:v>
      </x:c>
      <x:c r="E21" s="121" t="n">
        <x:v>38.19</x:v>
      </x:c>
      <x:c r="F21" s="121" t="n">
        <x:v>1</x:v>
      </x:c>
      <x:c r="G21" s="122" t="n">
        <x:f>IFERROR(E21/C21/F21,0)</x:f>
        <x:v>0.19094999999999998</x:v>
      </x:c>
      <x:c r="H21" s="24" t="str">
        <x:v>10 lb case; 0.8 oz links; approx. 200 links/case; 2 links per OG Breakfast Burrito</x:v>
      </x:c>
    </x:row>
    <x:row r="22">
      <x:c r="A22" s="24" t="inlineStr">
        <x:is>
          <x:t xml:space="preserve">Pork Rinds</x:t>
        </x:is>
      </x:c>
      <x:c r="B22" s="24" t="str"/>
      <x:c r="C22" s="24" t="n">
        <x:v>1</x:v>
      </x:c>
      <x:c r="D22" s="24" t="inlineStr">
        <x:is>
          <x:t xml:space="preserve">oz</x:t>
        </x:is>
      </x:c>
      <x:c r="E22" s="69" t="n"/>
      <x:c r="F22" s="70" t="n">
        <x:v>1</x:v>
      </x:c>
      <x:c r="G22" s="71" t="n">
        <x:f>IFERROR(E22/C22/F22,0)</x:f>
        <x:v>0</x:v>
      </x:c>
      <x:c r="H22" s="24" t="str"/>
    </x:row>
    <x:row r="23">
      <x:c r="A23" s="24" t="inlineStr">
        <x:is>
          <x:t xml:space="preserve">#8 To-Go Box</x:t>
        </x:is>
      </x:c>
      <x:c r="B23" s="24" t="str"/>
      <x:c r="C23" s="24" t="n">
        <x:v>300</x:v>
      </x:c>
      <x:c r="D23" s="24" t="inlineStr">
        <x:is>
          <x:t xml:space="preserve">each</x:t>
        </x:is>
      </x:c>
      <x:c r="E23" s="69" t="n">
        <x:v>44</x:v>
      </x:c>
      <x:c r="F23" s="70" t="n">
        <x:v>1</x:v>
      </x:c>
      <x:c r="G23" s="71" t="n">
        <x:f>IFERROR(E23/C23/F23,0)</x:f>
        <x:v>0.14666666666666667</x:v>
      </x:c>
      <x:c r="H23" s="24" t="inlineStr">
        <x:is>
          <x:t xml:space="preserve">$44 case of 300 boxes</x:t>
        </x:is>
      </x:c>
    </x:row>
    <x:row r="24">
      <x:c r="A24" s="24" t="inlineStr">
        <x:is>
          <x:t xml:space="preserve">14 in Flour Tortilla</x:t>
        </x:is>
      </x:c>
      <x:c r="B24" s="24" t="str"/>
      <x:c r="C24" s="24" t="n">
        <x:v>24</x:v>
      </x:c>
      <x:c r="D24" s="24" t="inlineStr">
        <x:is>
          <x:t xml:space="preserve">each</x:t>
        </x:is>
      </x:c>
      <x:c r="E24" s="69" t="n">
        <x:v>8.5</x:v>
      </x:c>
      <x:c r="F24" s="70" t="n">
        <x:v>1</x:v>
      </x:c>
      <x:c r="G24" s="73" t="n">
        <x:f>IFERROR(E24/C24/F24,0)</x:f>
        <x:v>0.3541666666666667</x:v>
      </x:c>
      <x:c r="H24" s="24" t="inlineStr">
        <x:is>
          <x:t xml:space="preserve">$8.50 package of 24 tortillas</x:t>
        </x:is>
      </x:c>
    </x:row>
    <x:row r="25">
      <x:c r="A25" t="inlineStr">
        <x:is>
          <x:t xml:space="preserve">Wrapping Paper</x:t>
        </x:is>
      </x:c>
      <x:c r="C25" t="n">
        <x:v>1</x:v>
      </x:c>
      <x:c r="D25" t="inlineStr">
        <x:is>
          <x:t xml:space="preserve">sheet</x:t>
        </x:is>
      </x:c>
      <x:c r="E25" t="n">
        <x:v>0.02</x:v>
      </x:c>
      <x:c r="F25" t="n">
        <x:v>1</x:v>
      </x:c>
      <x:c r="G25" t="n">
        <x:f>IFERROR(E25/C25/F25,0)</x:f>
        <x:v>0.02</x:v>
      </x:c>
      <x:c r="H25" t="inlineStr">
        <x:is>
          <x:t xml:space="preserve">$0.02 per sheet</x:t>
        </x:is>
      </x:c>
    </x:row>
    <x:row r="26">
      <x:c r="A26" s="24" t="inlineStr">
        <x:is>
          <x:t xml:space="preserve">Carne Asada</x:t>
        </x:is>
      </x:c>
      <x:c r="B26" s="24" t="str"/>
      <x:c r="C26" s="24" t="n">
        <x:v>16</x:v>
      </x:c>
      <x:c r="D26" s="24" t="inlineStr">
        <x:is>
          <x:t xml:space="preserve">oz</x:t>
        </x:is>
      </x:c>
      <x:c r="E26" s="24" t="n">
        <x:v>8</x:v>
      </x:c>
      <x:c r="F26" s="24" t="n">
        <x:v>1</x:v>
      </x:c>
      <x:c r="G26" s="56" t="n">
        <x:f>IFERROR(E26/C26/F26,0)</x:f>
        <x:v>0.5</x:v>
      </x:c>
      <x:c r="H26" s="24" t="inlineStr">
        <x:is>
          <x:t xml:space="preserve">4 oz portion; protein add-on price $3.00</x:t>
        </x:is>
      </x:c>
      <x:c r="I26" s="74" t="n">
        <x:v>3</x:v>
      </x:c>
    </x:row>
    <x:row r="27">
      <x:c r="A27" s="24" t="inlineStr">
        <x:is>
          <x:t xml:space="preserve">Al Pastor</x:t>
        </x:is>
      </x:c>
      <x:c r="B27" s="24" t="str"/>
      <x:c r="C27" s="24" t="n">
        <x:v>16</x:v>
      </x:c>
      <x:c r="D27" s="24" t="inlineStr">
        <x:is>
          <x:t xml:space="preserve">oz</x:t>
        </x:is>
      </x:c>
      <x:c r="E27" s="24" t="n">
        <x:v>8</x:v>
      </x:c>
      <x:c r="F27" s="24" t="n">
        <x:v>1</x:v>
      </x:c>
      <x:c r="G27" s="56" t="n">
        <x:f>IFERROR(E27/C27/F27,0)</x:f>
        <x:v>0.5</x:v>
      </x:c>
      <x:c r="H27" s="24" t="inlineStr">
        <x:is>
          <x:t xml:space="preserve">4 oz portion; protein add-on price $3.00</x:t>
        </x:is>
      </x:c>
      <x:c r="I27" s="74" t="n">
        <x:v>3</x:v>
      </x:c>
    </x:row>
    <x:row r="28">
      <x:c r="A28" s="24" t="inlineStr">
        <x:is>
          <x:t xml:space="preserve">Chorizo</x:t>
        </x:is>
      </x:c>
      <x:c r="B28" s="24" t="str"/>
      <x:c r="C28" s="24" t="n">
        <x:v>16</x:v>
      </x:c>
      <x:c r="D28" s="24" t="inlineStr">
        <x:is>
          <x:t xml:space="preserve">oz</x:t>
        </x:is>
      </x:c>
      <x:c r="E28" s="24" t="n">
        <x:v>6</x:v>
      </x:c>
      <x:c r="F28" s="24" t="n">
        <x:v>1</x:v>
      </x:c>
      <x:c r="G28" s="56" t="n">
        <x:f>IFERROR(E28/C28/F28,0)</x:f>
        <x:v>0.375</x:v>
      </x:c>
      <x:c r="H28" s="24" t="inlineStr">
        <x:is>
          <x:t xml:space="preserve">4 oz portion; protein add-on price $2.00</x:t>
        </x:is>
      </x:c>
      <x:c r="I28" s="74" t="n">
        <x:v>2</x:v>
      </x:c>
    </x:row>
    <x:row r="29">
      <x:c r="A29" t="inlineStr">
        <x:is>
          <x:t xml:space="preserve">12 in Flour Tortilla</x:t>
        </x:is>
      </x:c>
      <x:c r="B29" t="inlineStr">
        <x:is>
          <x:t xml:space="preserve"/>
        </x:is>
      </x:c>
      <x:c r="C29" t="n">
        <x:v>24</x:v>
      </x:c>
      <x:c r="D29" t="inlineStr">
        <x:is>
          <x:t xml:space="preserve">each</x:t>
        </x:is>
      </x:c>
      <x:c r="E29" t="n">
        <x:v>7.5</x:v>
      </x:c>
      <x:c r="F29" t="n">
        <x:v>1</x:v>
      </x:c>
      <x:c r="G29" t="n">
        <x:f>IFERROR(E29/C29/F29,0)</x:f>
        <x:v>0.3125</x:v>
      </x:c>
      <x:c r="H29" t="inlineStr">
        <x:is>
          <x:t xml:space="preserve">$7.50 package of 24</x:t>
        </x:is>
      </x:c>
    </x:row>
    <x:row r="30">
      <x:c r="A30" t="inlineStr">
        <x:is>
          <x:t xml:space="preserve">Egg</x:t>
        </x:is>
      </x:c>
      <x:c r="B30" t="inlineStr">
        <x:is>
          <x:t xml:space="preserve"/>
        </x:is>
      </x:c>
      <x:c r="C30" t="n">
        <x:v>192</x:v>
      </x:c>
      <x:c r="D30" t="inlineStr">
        <x:is>
          <x:t xml:space="preserve">each</x:t>
        </x:is>
      </x:c>
      <x:c r="E30" t="n">
        <x:v>27</x:v>
      </x:c>
      <x:c r="F30" t="n">
        <x:v>1</x:v>
      </x:c>
      <x:c r="G30" t="n">
        <x:f>IFERROR(E30/C30/F30,0)</x:f>
        <x:v>0.140625</x:v>
      </x:c>
      <x:c r="H30" t="inlineStr">
        <x:is>
          <x:t xml:space="preserve">16 dozen = 192 eggs; 3 per OG burrito</x:t>
        </x:is>
      </x:c>
    </x:row>
    <x:row r="31">
      <x:c r="A31" t="inlineStr">
        <x:is>
          <x:t xml:space="preserve">Thick Cut Bacon</x:t>
        </x:is>
      </x:c>
      <x:c r="B31" t="inlineStr">
        <x:is>
          <x:t xml:space="preserve">Sam's Club</x:t>
        </x:is>
      </x:c>
      <x:c r="C31" t="n">
        <x:v>64</x:v>
      </x:c>
      <x:c r="D31" t="inlineStr">
        <x:is>
          <x:t xml:space="preserve">oz</x:t>
        </x:is>
      </x:c>
      <x:c r="E31" t="n">
        <x:v>16.47</x:v>
      </x:c>
      <x:c r="F31" t="n">
        <x:v>1</x:v>
      </x:c>
      <x:c r="G31" t="n">
        <x:f>IFERROR(E31/C31/F31,0)</x:f>
        <x:v>0.25734375</x:v>
      </x:c>
      <x:c r="H31" t="inlineStr">
        <x:is>
          <x:t xml:space="preserve">Member's Mark 4 lb; 3 oz portion</x:t>
        </x:is>
      </x:c>
    </x:row>
    <x:row r="32">
      <x:c r="A32" t="inlineStr">
        <x:is>
          <x:t xml:space="preserve">Tater Tots</x:t>
        </x:is>
      </x:c>
      <x:c r="B32" t="inlineStr">
        <x:is>
          <x:t xml:space="preserve"/>
        </x:is>
      </x:c>
      <x:c r="C32" t="n">
        <x:v>320</x:v>
      </x:c>
      <x:c r="D32" t="inlineStr">
        <x:is>
          <x:t xml:space="preserve">oz</x:t>
        </x:is>
      </x:c>
      <x:c r="E32" t="n">
        <x:v>33.22</x:v>
      </x:c>
      <x:c r="F32" t="n">
        <x:v>1</x:v>
      </x:c>
      <x:c r="G32" t="n">
        <x:f>IFERROR(E32/C32/F32,0)</x:f>
        <x:v>0.1038125</x:v>
      </x:c>
      <x:c r="H32" t="inlineStr">
        <x:is>
          <x:t xml:space="preserve">20 lb case; measured 7.6 oz (~25 pieces)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daddff4bd614e84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30" customWidth="1"/>
    <x:col min="2" max="2" width="24" style="30" customWidth="1"/>
    <x:col min="3" max="3" width="11" style="30" customWidth="1"/>
    <x:col min="4" max="4" width="10" style="30" customWidth="1"/>
    <x:col min="5" max="5" width="14" style="30" customWidth="1"/>
    <x:col min="6" max="6" width="17" style="30" customWidth="1"/>
    <x:col min="7" max="7" width="17" style="30" customWidth="1"/>
    <x:col min="8" max="8" width="16" style="30" customWidth="1"/>
    <x:col min="9" max="9" width="15" style="30" customWidth="1"/>
    <x:col min="10" max="10" width="24" style="30" customWidth="1"/>
    <x:col min="12" max="12" width="20" style="30" customWidth="1"/>
    <x:col min="13" max="13" width="12" style="30" customWidth="1"/>
    <x:col min="14" max="14" width="16" style="30" customWidth="1"/>
  </x:cols>
  <x:sheetData>
    <x:row r="1">
      <x:c r="A1" s="9" t="inlineStr">
        <x:is>
          <x:t xml:space="preserve">CHILAKIL TO GO — RECIPE / MENU ITEM COSTING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14" t="inlineStr">
        <x:is>
          <x:t xml:space="preserve">Menu Item</x:t>
        </x:is>
      </x:c>
      <x:c r="B2" s="14" t="inlineStr">
        <x:is>
          <x:t xml:space="preserve">Ingredient</x:t>
        </x:is>
      </x:c>
      <x:c r="C2" s="14" t="inlineStr">
        <x:is>
          <x:t xml:space="preserve">Qty Used</x:t>
        </x:is>
      </x:c>
      <x:c r="D2" s="14" t="inlineStr">
        <x:is>
          <x:t xml:space="preserve">Unit</x:t>
        </x:is>
      </x:c>
      <x:c r="E2" s="14" t="inlineStr">
        <x:is>
          <x:t xml:space="preserve">Unit Cost ($)</x:t>
        </x:is>
      </x:c>
      <x:c r="F2" s="14" t="inlineStr">
        <x:is>
          <x:t xml:space="preserve">Ingredient Cost ($)</x:t>
        </x:is>
      </x:c>
      <x:c r="G2" s="14" t="inlineStr">
        <x:is>
          <x:t xml:space="preserve">Packaging Cost ($)</x:t>
        </x:is>
      </x:c>
      <x:c r="H2" s="14" t="inlineStr">
        <x:is>
          <x:t xml:space="preserve">Total Line Cost ($)</x:t>
        </x:is>
      </x:c>
      <x:c r="I2" s="14" t="inlineStr">
        <x:is>
          <x:t xml:space="preserve">Selling Price ($)</x:t>
        </x:is>
      </x:c>
      <x:c r="J2" s="14" t="inlineStr">
        <x:is>
          <x:t xml:space="preserve">Notes</x:t>
        </x:is>
      </x:c>
      <x:c r="L2" s="61" t="inlineStr">
        <x:is>
          <x:t xml:space="preserve">STANDARD TOPPINGS</x:t>
        </x:is>
      </x:c>
      <x:c r="M2" s="61" t="inlineStr">
        <x:is>
          <x:t xml:space="preserve">Portion</x:t>
        </x:is>
      </x:c>
      <x:c r="N2" s="61" t="inlineStr">
        <x:is>
          <x:t xml:space="preserve">Cost / Order</x:t>
        </x:is>
      </x:c>
    </x:row>
    <x:row r="3">
      <x:c r="A3" s="24" t="inlineStr">
        <x:is>
          <x:t xml:space="preserve">Build Your Own Chilaquiles</x:t>
        </x:is>
      </x:c>
      <x:c r="B3" s="24" t="inlineStr">
        <x:is>
          <x:t xml:space="preserve">Tortillas / Chips</x:t>
        </x:is>
      </x:c>
      <x:c r="C3" s="24" t="n">
        <x:v>1</x:v>
      </x:c>
      <x:c r="D3" s="24" t="inlineStr">
        <x:is>
          <x:t xml:space="preserve">order</x:t>
        </x:is>
      </x:c>
      <x:c r="E3" s="71" t="n">
        <x:f>IFERROR(XLOOKUP(B3,'Ingredient Prices'!$A$3:$A$100,'Ingredient Prices'!$G$3:$G$100,0),0)</x:f>
        <x:v>0.7233333333333333</x:v>
      </x:c>
      <x:c r="F3" s="71" t="n">
        <x:f>IFERROR(C3*E3,0)</x:f>
        <x:v>0.7233333333333333</x:v>
      </x:c>
      <x:c r="G3" s="69" t="n">
        <x:v>0</x:v>
      </x:c>
      <x:c r="H3" s="71" t="n">
        <x:f>SUM(F3:G3)</x:f>
        <x:v>0.7233333333333333</x:v>
      </x:c>
      <x:c r="I3" s="69" t="n"/>
      <x:c r="J3" s="24" t="str"/>
      <x:c r="L3" t="inlineStr">
        <x:is>
          <x:t xml:space="preserve">Red Onion</x:t>
        </x:is>
      </x:c>
      <x:c r="M3" t="inlineStr">
        <x:is>
          <x:t xml:space="preserve">4 oz</x:t>
        </x:is>
      </x:c>
      <x:c r="N3" s="72" t="n">
        <x:f>'Ingredient Prices'!G16*4</x:f>
        <x:v>0.175</x:v>
      </x:c>
    </x:row>
    <x:row r="4">
      <x:c r="A4" s="24" t="inlineStr">
        <x:is>
          <x:t xml:space="preserve">Build Your Own Chilaquiles</x:t>
        </x:is>
      </x:c>
      <x:c r="B4" s="24" t="inlineStr">
        <x:is>
          <x:t xml:space="preserve">Monterey Jack Cheese</x:t>
        </x:is>
      </x:c>
      <x:c r="C4" s="24" t="n">
        <x:v>6</x:v>
      </x:c>
      <x:c r="D4" s="24" t="inlineStr">
        <x:is>
          <x:t xml:space="preserve">oz</x:t>
        </x:is>
      </x:c>
      <x:c r="E4" s="71" t="n">
        <x:f>IFERROR(XLOOKUP(B4,'Ingredient Prices'!$A$3:$A$100,'Ingredient Prices'!$G$3:$G$100,0),0)</x:f>
        <x:v>0.15625</x:v>
      </x:c>
      <x:c r="F4" s="71" t="n">
        <x:f>IFERROR(C4*E4,0)</x:f>
        <x:v>0.9375</x:v>
      </x:c>
      <x:c r="G4" s="69" t="n">
        <x:v>0</x:v>
      </x:c>
      <x:c r="H4" s="71" t="n">
        <x:f>SUM(F4:G4)</x:f>
        <x:v>0.9375</x:v>
      </x:c>
      <x:c r="I4" s="69" t="n"/>
      <x:c r="J4" s="24" t="str"/>
      <x:c r="L4" t="inlineStr">
        <x:is>
          <x:t xml:space="preserve">Cilantro</x:t>
        </x:is>
      </x:c>
      <x:c r="M4" t="inlineStr">
        <x:is>
          <x:t xml:space="preserve">4 oz</x:t>
        </x:is>
      </x:c>
      <x:c r="N4" s="72" t="n">
        <x:f>'Ingredient Prices'!G17*4</x:f>
        <x:v>0.5</x:v>
      </x:c>
    </x:row>
    <x:row r="5">
      <x:c r="A5" s="24" t="inlineStr">
        <x:is>
          <x:t xml:space="preserve">Build Your Own Chilaquiles</x:t>
        </x:is>
      </x:c>
      <x:c r="B5" s="24" t="inlineStr">
        <x:is>
          <x:t xml:space="preserve">Sour Cream</x:t>
        </x:is>
      </x:c>
      <x:c r="C5" s="24" t="n">
        <x:v>3</x:v>
      </x:c>
      <x:c r="D5" s="24" t="inlineStr">
        <x:is>
          <x:t xml:space="preserve">oz</x:t>
        </x:is>
      </x:c>
      <x:c r="E5" s="71" t="n">
        <x:f>IFERROR(XLOOKUP(B5,'Ingredient Prices'!$A$3:$A$100,'Ingredient Prices'!$G$3:$G$100,0),0)</x:f>
        <x:v>0.184375</x:v>
      </x:c>
      <x:c r="F5" s="71" t="n">
        <x:f>IFERROR(C5*E5,0)</x:f>
        <x:v>0.5531250000000001</x:v>
      </x:c>
      <x:c r="G5" s="69" t="n">
        <x:v>0</x:v>
      </x:c>
      <x:c r="H5" s="71" t="n">
        <x:f>SUM(F5:G5)</x:f>
        <x:v>0.5531250000000001</x:v>
      </x:c>
      <x:c r="I5" s="69" t="n"/>
      <x:c r="J5" s="24" t="str"/>
    </x:row>
    <x:row r="6">
      <x:c r="A6" s="24" t="inlineStr">
        <x:is>
          <x:t xml:space="preserve">Build Your Own Chilaquiles</x:t>
        </x:is>
      </x:c>
      <x:c r="B6" s="24" t="inlineStr">
        <x:is>
          <x:t xml:space="preserve">Frying Oil</x:t>
        </x:is>
      </x:c>
      <x:c r="C6" s="24" t="n">
        <x:v>1</x:v>
      </x:c>
      <x:c r="D6" s="24" t="inlineStr">
        <x:is>
          <x:t xml:space="preserve">order</x:t>
        </x:is>
      </x:c>
      <x:c r="E6" s="71" t="n">
        <x:f>IFERROR(XLOOKUP(B6,'Ingredient Prices'!$A$3:$A$100,'Ingredient Prices'!$G$3:$G$100,0),0)</x:f>
        <x:v>0.09</x:v>
      </x:c>
      <x:c r="F6" s="71" t="n">
        <x:f>IFERROR(C6*E6,0)</x:f>
        <x:v>0.09</x:v>
      </x:c>
      <x:c r="G6" s="69" t="n">
        <x:v>0</x:v>
      </x:c>
      <x:c r="H6" s="71" t="n">
        <x:f>SUM(F6:G6)</x:f>
        <x:v>0.09</x:v>
      </x:c>
      <x:c r="I6" s="69" t="n"/>
      <x:c r="J6" s="24" t="str"/>
    </x:row>
    <x:row r="7">
      <x:c r="A7" s="24" t="inlineStr">
        <x:is>
          <x:t xml:space="preserve">Build Your Own Chilaquiles</x:t>
        </x:is>
      </x:c>
      <x:c r="B7" s="24" t="inlineStr">
        <x:is>
          <x:t xml:space="preserve">#8 To-Go Box</x:t>
        </x:is>
      </x:c>
      <x:c r="C7" s="24" t="n">
        <x:v>1</x:v>
      </x:c>
      <x:c r="D7" s="24" t="inlineStr">
        <x:is>
          <x:t xml:space="preserve">each</x:t>
        </x:is>
      </x:c>
      <x:c r="E7" s="71" t="n">
        <x:f>IFERROR(XLOOKUP(B7,'Ingredient Prices'!$A$3:$A$100,'Ingredient Prices'!$G$3:$G$100,0),0)</x:f>
        <x:v>0</x:v>
      </x:c>
      <x:c r="F7" s="71" t="n">
        <x:f>IFERROR(C7*E7,0)</x:f>
        <x:v>0</x:v>
      </x:c>
      <x:c r="G7" s="69" t="n">
        <x:v>0</x:v>
      </x:c>
      <x:c r="H7" s="71" t="n">
        <x:f>SUM(F7:G7)</x:f>
        <x:v>0</x:v>
      </x:c>
      <x:c r="I7" s="69" t="n"/>
      <x:c r="J7" s="24" t="str"/>
    </x:row>
    <x:row r="8">
      <x:c r="A8" s="24" t="inlineStr">
        <x:is>
          <x:t xml:space="preserve">Build Your Own Chilaquiles</x:t>
        </x:is>
      </x:c>
      <x:c r="B8" s="24" t="inlineStr">
        <x:is>
          <x:t xml:space="preserve">Salsa (incl. production labor)</x:t>
        </x:is>
      </x:c>
      <x:c r="C8" s="24" t="n">
        <x:v>8</x:v>
      </x:c>
      <x:c r="D8" s="24" t="inlineStr">
        <x:is>
          <x:t xml:space="preserve">oz</x:t>
        </x:is>
      </x:c>
      <x:c r="E8" s="71" t="n">
        <x:f>IFERROR(XLOOKUP(B8,'Ingredient Prices'!$A$3:$A$100,'Ingredient Prices'!$G$3:$G$100,0),0)</x:f>
        <x:v>0.09151785714285714</x:v>
      </x:c>
      <x:c r="F8" s="71" t="n">
        <x:f>IFERROR(C8*E8,0)</x:f>
        <x:v>0.7321428571428571</x:v>
      </x:c>
      <x:c r="G8" s="69" t="n">
        <x:v>0</x:v>
      </x:c>
      <x:c r="H8" s="71" t="n">
        <x:f>SUM(F8:G8)</x:f>
        <x:v>0.7321428571428571</x:v>
      </x:c>
      <x:c r="I8" s="69" t="n"/>
      <x:c r="J8" s="24" t="str"/>
    </x:row>
    <x:row r="9">
      <x:c r="A9" s="24" t="inlineStr">
        <x:is>
          <x:t xml:space="preserve">Build Your Own Chilaquiles</x:t>
        </x:is>
      </x:c>
      <x:c r="B9" s="24" t="inlineStr">
        <x:is>
          <x:t xml:space="preserve">Average Protein</x:t>
        </x:is>
      </x:c>
      <x:c r="C9" s="24" t="n">
        <x:v>4</x:v>
      </x:c>
      <x:c r="D9" s="24" t="inlineStr">
        <x:is>
          <x:t xml:space="preserve">oz</x:t>
        </x:is>
      </x:c>
      <x:c r="E9" s="71" t="n">
        <x:f>IFERROR(XLOOKUP(B9,'Ingredient Prices'!$A$3:$A$100,'Ingredient Prices'!$G$3:$G$100,0),0)</x:f>
        <x:v>0.5</x:v>
      </x:c>
      <x:c r="F9" s="71" t="n">
        <x:f>IFERROR(C9*E9,0)</x:f>
        <x:v>2</x:v>
      </x:c>
      <x:c r="G9" s="69" t="n">
        <x:v>0</x:v>
      </x:c>
      <x:c r="H9" s="71" t="n">
        <x:f>SUM(F9:G9)</x:f>
        <x:v>2</x:v>
      </x:c>
      <x:c r="I9" s="69" t="n"/>
      <x:c r="J9" s="24" t="inlineStr">
        <x:is>
          <x:t xml:space="preserve">Include only when protein is added</x:t>
        </x:is>
      </x:c>
    </x:row>
    <x:row r="10">
      <x:c r="A10" s="24" t="inlineStr">
        <x:is>
          <x:t xml:space="preserve">Build Your Own Chilaquiles</x:t>
        </x:is>
      </x:c>
      <x:c r="B10" s="24" t="str"/>
      <x:c r="C10" s="24" t="n"/>
      <x:c r="D10" s="24" t="str"/>
      <x:c r="E10" s="71" t="str">
        <x:f>IFERROR(XLOOKUP(B10,'Ingredient Prices'!$A$3:$A$100,'Ingredient Prices'!$G$3:$G$100,0),0)</x:f>
      </x:c>
      <x:c r="F10" s="71" t="n">
        <x:f>IFERROR(C10*E10,0)</x:f>
        <x:v>0</x:v>
      </x:c>
      <x:c r="G10" s="69" t="n">
        <x:v>0</x:v>
      </x:c>
      <x:c r="H10" s="71" t="n">
        <x:f>SUM(F10:G10)</x:f>
        <x:v>0</x:v>
      </x:c>
      <x:c r="I10" s="69" t="n"/>
      <x:c r="J10" s="24" t="inlineStr">
        <x:is>
          <x:t xml:space="preserve">Open line for next confirmed ingredient</x:t>
        </x:is>
      </x:c>
    </x:row>
    <x:row r="11">
      <x:c r="A11" s="24" t="inlineStr">
        <x:is>
          <x:t xml:space="preserve">Burrito de Chilaquiles</x:t>
        </x:is>
      </x:c>
      <x:c r="B11" s="24" t="inlineStr">
        <x:is>
          <x:t xml:space="preserve">Tortillas / Chips</x:t>
        </x:is>
      </x:c>
      <x:c r="C11" s="24" t="n">
        <x:v>1</x:v>
      </x:c>
      <x:c r="D11" s="24" t="inlineStr">
        <x:is>
          <x:t xml:space="preserve">order</x:t>
        </x:is>
      </x:c>
      <x:c r="E11" s="73" t="n">
        <x:f>IFERROR(XLOOKUP(B11,'Ingredient Prices'!$A$3:$A$100,'Ingredient Prices'!$G$3:$G$100,0),0)</x:f>
        <x:v>0.7233333333333333</x:v>
      </x:c>
      <x:c r="F11" s="73" t="n">
        <x:f>IFERROR(C11*E11,0)</x:f>
        <x:v>0.7233333333333333</x:v>
      </x:c>
      <x:c r="G11" s="69" t="n">
        <x:v>0</x:v>
      </x:c>
      <x:c r="H11" s="73" t="n">
        <x:f>SUM(F11:G11)</x:f>
        <x:v>0.7233333333333333</x:v>
      </x:c>
      <x:c r="I11" s="69" t="n"/>
      <x:c r="J11" s="24" t="str"/>
    </x:row>
    <x:row r="12">
      <x:c r="A12" s="24" t="inlineStr">
        <x:is>
          <x:t xml:space="preserve">Burrito de Chilaquiles</x:t>
        </x:is>
      </x:c>
      <x:c r="B12" s="24" t="inlineStr">
        <x:is>
          <x:t xml:space="preserve">Monterey Jack Cheese</x:t>
        </x:is>
      </x:c>
      <x:c r="C12" s="24" t="n">
        <x:v>6</x:v>
      </x:c>
      <x:c r="D12" s="24" t="inlineStr">
        <x:is>
          <x:t xml:space="preserve">oz</x:t>
        </x:is>
      </x:c>
      <x:c r="E12" s="73" t="n">
        <x:f>IFERROR(XLOOKUP(B12,'Ingredient Prices'!$A$3:$A$100,'Ingredient Prices'!$G$3:$G$100,0),0)</x:f>
        <x:v>0.15625</x:v>
      </x:c>
      <x:c r="F12" s="73" t="n">
        <x:f>IFERROR(C12*E12,0)</x:f>
        <x:v>0.9375</x:v>
      </x:c>
      <x:c r="G12" s="69" t="n">
        <x:v>0</x:v>
      </x:c>
      <x:c r="H12" s="73" t="n">
        <x:f>SUM(F12:G12)</x:f>
        <x:v>0.9375</x:v>
      </x:c>
      <x:c r="I12" s="69" t="n"/>
      <x:c r="J12" s="24" t="str"/>
    </x:row>
    <x:row r="13">
      <x:c r="A13" s="24" t="inlineStr">
        <x:is>
          <x:t xml:space="preserve">Burrito de Chilaquiles</x:t>
        </x:is>
      </x:c>
      <x:c r="B13" s="24" t="inlineStr">
        <x:is>
          <x:t xml:space="preserve">Sour Cream</x:t>
        </x:is>
      </x:c>
      <x:c r="C13" s="24" t="n">
        <x:v>3</x:v>
      </x:c>
      <x:c r="D13" s="24" t="inlineStr">
        <x:is>
          <x:t xml:space="preserve">oz</x:t>
        </x:is>
      </x:c>
      <x:c r="E13" s="73" t="n">
        <x:f>IFERROR(XLOOKUP(B13,'Ingredient Prices'!$A$3:$A$100,'Ingredient Prices'!$G$3:$G$100,0),0)</x:f>
        <x:v>0.184375</x:v>
      </x:c>
      <x:c r="F13" s="73" t="n">
        <x:f>IFERROR(C13*E13,0)</x:f>
        <x:v>0.5531250000000001</x:v>
      </x:c>
      <x:c r="G13" s="69" t="n">
        <x:v>0</x:v>
      </x:c>
      <x:c r="H13" s="73" t="n">
        <x:f>SUM(F13:G13)</x:f>
        <x:v>0.5531250000000001</x:v>
      </x:c>
      <x:c r="I13" s="69" t="n"/>
      <x:c r="J13" s="24" t="str"/>
    </x:row>
    <x:row r="14">
      <x:c r="A14" s="24" t="inlineStr">
        <x:is>
          <x:t xml:space="preserve">Burrito de Chilaquiles</x:t>
        </x:is>
      </x:c>
      <x:c r="B14" s="24" t="inlineStr">
        <x:is>
          <x:t xml:space="preserve">Frying Oil</x:t>
        </x:is>
      </x:c>
      <x:c r="C14" s="24" t="n">
        <x:v>1</x:v>
      </x:c>
      <x:c r="D14" s="24" t="inlineStr">
        <x:is>
          <x:t xml:space="preserve">order</x:t>
        </x:is>
      </x:c>
      <x:c r="E14" s="73" t="n">
        <x:f>IFERROR(XLOOKUP(B14,'Ingredient Prices'!$A$3:$A$100,'Ingredient Prices'!$G$3:$G$100,0),0)</x:f>
        <x:v>0.09</x:v>
      </x:c>
      <x:c r="F14" s="73" t="n">
        <x:f>IFERROR(C14*E14,0)</x:f>
        <x:v>0.09</x:v>
      </x:c>
      <x:c r="G14" s="69" t="n">
        <x:v>0</x:v>
      </x:c>
      <x:c r="H14" s="73" t="n">
        <x:f>SUM(F14:G14)</x:f>
        <x:v>0.09</x:v>
      </x:c>
      <x:c r="I14" s="69" t="n"/>
      <x:c r="J14" s="24" t="str"/>
    </x:row>
    <x:row r="15">
      <x:c r="A15" s="24" t="inlineStr">
        <x:is>
          <x:t xml:space="preserve">Burrito de Chilaquiles</x:t>
        </x:is>
      </x:c>
      <x:c r="B15" s="24" t="inlineStr">
        <x:is>
          <x:t xml:space="preserve">Salsa (incl. production labor)</x:t>
        </x:is>
      </x:c>
      <x:c r="C15" s="24" t="n">
        <x:v>8</x:v>
      </x:c>
      <x:c r="D15" s="24" t="inlineStr">
        <x:is>
          <x:t xml:space="preserve">oz</x:t>
        </x:is>
      </x:c>
      <x:c r="E15" s="73" t="n">
        <x:f>IFERROR(XLOOKUP(B15,'Ingredient Prices'!$A$3:$A$100,'Ingredient Prices'!$G$3:$G$100,0),0)</x:f>
        <x:v>0.09151785714285714</x:v>
      </x:c>
      <x:c r="F15" s="73" t="n">
        <x:f>IFERROR(C15*E15,0)</x:f>
        <x:v>0.7321428571428571</x:v>
      </x:c>
      <x:c r="G15" s="69" t="n">
        <x:v>0</x:v>
      </x:c>
      <x:c r="H15" s="73" t="n">
        <x:f>SUM(F15:G15)</x:f>
        <x:v>0.7321428571428571</x:v>
      </x:c>
      <x:c r="I15" s="69" t="n"/>
      <x:c r="J15" s="24" t="str"/>
    </x:row>
    <x:row r="16">
      <x:c r="A16" s="24" t="inlineStr">
        <x:is>
          <x:t xml:space="preserve">Burrito de Chilaquiles</x:t>
        </x:is>
      </x:c>
      <x:c r="B16" s="24" t="inlineStr">
        <x:is>
          <x:t xml:space="preserve">Average Protein</x:t>
        </x:is>
      </x:c>
      <x:c r="C16" s="24" t="n">
        <x:v>4</x:v>
      </x:c>
      <x:c r="D16" s="24" t="inlineStr">
        <x:is>
          <x:t xml:space="preserve">oz</x:t>
        </x:is>
      </x:c>
      <x:c r="E16" s="73" t="n">
        <x:f>IFERROR(XLOOKUP(B16,'Ingredient Prices'!$A$3:$A$100,'Ingredient Prices'!$G$3:$G$100,0),0)</x:f>
        <x:v>0.5</x:v>
      </x:c>
      <x:c r="F16" s="73" t="n">
        <x:f>IFERROR(C16*E16,0)</x:f>
        <x:v>2</x:v>
      </x:c>
      <x:c r="G16" s="69" t="n">
        <x:v>0</x:v>
      </x:c>
      <x:c r="H16" s="73" t="n">
        <x:f>SUM(F16:G16)</x:f>
        <x:v>2</x:v>
      </x:c>
      <x:c r="I16" s="69" t="n"/>
      <x:c r="J16" s="24" t="inlineStr">
        <x:is>
          <x:t xml:space="preserve">Include when protein is added</x:t>
        </x:is>
      </x:c>
    </x:row>
    <x:row r="17">
      <x:c r="A17" s="24" t="inlineStr">
        <x:is>
          <x:t xml:space="preserve">Burrito de Chilaquiles</x:t>
        </x:is>
      </x:c>
      <x:c r="B17" s="24" t="inlineStr">
        <x:is>
          <x:t xml:space="preserve">14 in Flour Tortilla</x:t>
        </x:is>
      </x:c>
      <x:c r="C17" s="24" t="n">
        <x:v>1</x:v>
      </x:c>
      <x:c r="D17" s="24" t="inlineStr">
        <x:is>
          <x:t xml:space="preserve">each</x:t>
        </x:is>
      </x:c>
      <x:c r="E17" s="73" t="n">
        <x:f>IFERROR(XLOOKUP(B17,'Ingredient Prices'!$A$3:$A$100,'Ingredient Prices'!$G$3:$G$100,0),0)</x:f>
        <x:v>0.3541666666666667</x:v>
      </x:c>
      <x:c r="F17" s="73" t="n">
        <x:f>IFERROR(C17*E17,0)</x:f>
        <x:v>0.3541666666666667</x:v>
      </x:c>
      <x:c r="G17" s="69" t="n">
        <x:v>0</x:v>
      </x:c>
      <x:c r="H17" s="73" t="n">
        <x:f>SUM(F17:G17)</x:f>
        <x:v>0.3541666666666667</x:v>
      </x:c>
      <x:c r="I17" s="69" t="n"/>
      <x:c r="J17" s="24" t="str"/>
    </x:row>
    <x:row r="18">
      <x:c r="A18" s="24" t="inlineStr">
        <x:is>
          <x:t xml:space="preserve">Burrito de Chilaquiles</x:t>
        </x:is>
      </x:c>
      <x:c r="B18" s="24" t="inlineStr">
        <x:is>
          <x:t xml:space="preserve">Wrapping Paper</x:t>
        </x:is>
      </x:c>
      <x:c r="C18" s="24" t="n">
        <x:v>1</x:v>
      </x:c>
      <x:c r="D18" s="24" t="inlineStr">
        <x:is>
          <x:t xml:space="preserve">sheet</x:t>
        </x:is>
      </x:c>
      <x:c r="E18" s="73" t="n">
        <x:f>IFERROR(XLOOKUP(B18,'Ingredient Prices'!$A$3:$A$100,'Ingredient Prices'!$G$3:$G$100,0),0)</x:f>
        <x:v>0.02</x:v>
      </x:c>
      <x:c r="F18" s="73" t="n">
        <x:f>IFERROR(C18*E18,0)</x:f>
        <x:v>0.02</x:v>
      </x:c>
      <x:c r="G18" s="69" t="n">
        <x:v>0</x:v>
      </x:c>
      <x:c r="H18" s="73" t="n">
        <x:f>SUM(F18:G18)</x:f>
        <x:v>0.02</x:v>
      </x:c>
      <x:c r="I18" s="69" t="n"/>
      <x:c r="J18" s="24" t="str"/>
    </x:row>
    <x:row r="19">
      <x:c r="A19" s="24" t="inlineStr">
        <x:is>
          <x:t xml:space="preserve">Torta de Chilaquiles</x:t>
        </x:is>
      </x:c>
      <x:c r="B19" s="24" t="str"/>
      <x:c r="C19" s="24" t="n"/>
      <x:c r="D19" s="24" t="str"/>
      <x:c r="E19" s="73" t="str">
        <x:f>IFERROR(XLOOKUP(B19,'Ingredient Prices'!$A$3:$A$100,'Ingredient Prices'!$G$3:$G$100,0),0)</x:f>
      </x:c>
      <x:c r="F19" s="73" t="n">
        <x:f>IFERROR(C19*E19,0)</x:f>
        <x:v>0</x:v>
      </x:c>
      <x:c r="G19" s="69" t="n"/>
      <x:c r="H19" s="73" t="n">
        <x:f>SUM(F19:G19)</x:f>
        <x:v>0</x:v>
      </x:c>
      <x:c r="I19" s="69" t="n"/>
      <x:c r="J19" s="24" t="str"/>
    </x:row>
    <x:row r="20">
      <x:c r="A20" s="24" t="inlineStr">
        <x:is>
          <x:t xml:space="preserve">Torta de Chilaquiles</x:t>
        </x:is>
      </x:c>
      <x:c r="B20" s="24" t="str"/>
      <x:c r="C20" s="24" t="n"/>
      <x:c r="D20" s="24" t="str"/>
      <x:c r="E20" s="73" t="str">
        <x:f>IFERROR(XLOOKUP(B20,'Ingredient Prices'!$A$3:$A$100,'Ingredient Prices'!$G$3:$G$100,0),0)</x:f>
      </x:c>
      <x:c r="F20" s="73" t="n">
        <x:f>IFERROR(C20*E20,0)</x:f>
        <x:v>0</x:v>
      </x:c>
      <x:c r="G20" s="69" t="n"/>
      <x:c r="H20" s="73" t="n">
        <x:f>SUM(F20:G20)</x:f>
        <x:v>0</x:v>
      </x:c>
      <x:c r="I20" s="69" t="n"/>
      <x:c r="J20" s="24" t="str"/>
    </x:row>
    <x:row r="21">
      <x:c r="A21" s="24" t="inlineStr">
        <x:is>
          <x:t xml:space="preserve">Torta de Chilaquiles</x:t>
        </x:is>
      </x:c>
      <x:c r="B21" s="24" t="str"/>
      <x:c r="C21" s="24" t="n"/>
      <x:c r="D21" s="24" t="str"/>
      <x:c r="E21" s="73" t="str">
        <x:f>IFERROR(XLOOKUP(B21,'Ingredient Prices'!$A$3:$A$100,'Ingredient Prices'!$G$3:$G$100,0),0)</x:f>
      </x:c>
      <x:c r="F21" s="73" t="n">
        <x:f>IFERROR(C21*E21,0)</x:f>
        <x:v>0</x:v>
      </x:c>
      <x:c r="G21" s="69" t="n"/>
      <x:c r="H21" s="73" t="n">
        <x:f>SUM(F21:G21)</x:f>
        <x:v>0</x:v>
      </x:c>
      <x:c r="I21" s="69" t="n"/>
      <x:c r="J21" s="24" t="str"/>
    </x:row>
    <x:row r="22">
      <x:c r="A22" s="24" t="inlineStr">
        <x:is>
          <x:t xml:space="preserve">Torta de Chilaquiles</x:t>
        </x:is>
      </x:c>
      <x:c r="B22" s="24" t="str"/>
      <x:c r="C22" s="24" t="n"/>
      <x:c r="D22" s="24" t="str"/>
      <x:c r="E22" s="73" t="str">
        <x:f>IFERROR(XLOOKUP(B22,'Ingredient Prices'!$A$3:$A$100,'Ingredient Prices'!$G$3:$G$100,0),0)</x:f>
      </x:c>
      <x:c r="F22" s="73" t="n">
        <x:f>IFERROR(C22*E22,0)</x:f>
        <x:v>0</x:v>
      </x:c>
      <x:c r="G22" s="69" t="n"/>
      <x:c r="H22" s="73" t="n">
        <x:f>SUM(F22:G22)</x:f>
        <x:v>0</x:v>
      </x:c>
      <x:c r="I22" s="69" t="n"/>
      <x:c r="J22" s="24" t="str"/>
    </x:row>
    <x:row r="23">
      <x:c r="A23" s="24" t="inlineStr">
        <x:is>
          <x:t xml:space="preserve">Torta de Chilaquiles</x:t>
        </x:is>
      </x:c>
      <x:c r="B23" s="24" t="str"/>
      <x:c r="C23" s="24" t="n"/>
      <x:c r="D23" s="24" t="str"/>
      <x:c r="E23" s="73" t="str">
        <x:f>IFERROR(XLOOKUP(B23,'Ingredient Prices'!$A$3:$A$100,'Ingredient Prices'!$G$3:$G$100,0),0)</x:f>
      </x:c>
      <x:c r="F23" s="73" t="n">
        <x:f>IFERROR(C23*E23,0)</x:f>
        <x:v>0</x:v>
      </x:c>
      <x:c r="G23" s="69" t="n"/>
      <x:c r="H23" s="73" t="n">
        <x:f>SUM(F23:G23)</x:f>
        <x:v>0</x:v>
      </x:c>
      <x:c r="I23" s="69" t="n"/>
      <x:c r="J23" s="24" t="str"/>
    </x:row>
    <x:row r="24">
      <x:c r="A24" s="24" t="inlineStr">
        <x:is>
          <x:t xml:space="preserve">Torta de Chilaquiles</x:t>
        </x:is>
      </x:c>
      <x:c r="B24" s="24" t="str"/>
      <x:c r="C24" s="24" t="n"/>
      <x:c r="D24" s="24" t="str"/>
      <x:c r="E24" s="73" t="str">
        <x:f>IFERROR(XLOOKUP(B24,'Ingredient Prices'!$A$3:$A$100,'Ingredient Prices'!$G$3:$G$100,0),0)</x:f>
      </x:c>
      <x:c r="F24" s="73" t="n">
        <x:f>IFERROR(C24*E24,0)</x:f>
        <x:v>0</x:v>
      </x:c>
      <x:c r="G24" s="69" t="n"/>
      <x:c r="H24" s="73" t="n">
        <x:f>SUM(F24:G24)</x:f>
        <x:v>0</x:v>
      </x:c>
      <x:c r="I24" s="69" t="n"/>
      <x:c r="J24" s="24" t="str"/>
    </x:row>
    <x:row r="25">
      <x:c r="A25" s="24" t="inlineStr">
        <x:is>
          <x:t xml:space="preserve">Torta de Chilaquiles</x:t>
        </x:is>
      </x:c>
      <x:c r="B25" s="24" t="str"/>
      <x:c r="C25" s="24" t="n"/>
      <x:c r="D25" s="24" t="str"/>
      <x:c r="E25" s="73" t="str">
        <x:f>IFERROR(XLOOKUP(B25,'Ingredient Prices'!$A$3:$A$100,'Ingredient Prices'!$G$3:$G$100,0),0)</x:f>
      </x:c>
      <x:c r="F25" s="73" t="n">
        <x:f>IFERROR(C25*E25,0)</x:f>
        <x:v>0</x:v>
      </x:c>
      <x:c r="G25" s="69" t="n"/>
      <x:c r="H25" s="73" t="n">
        <x:f>SUM(F25:G25)</x:f>
        <x:v>0</x:v>
      </x:c>
      <x:c r="I25" s="69" t="n"/>
      <x:c r="J25" s="24" t="str"/>
    </x:row>
    <x:row r="26">
      <x:c r="A26" s="24" t="inlineStr">
        <x:is>
          <x:t xml:space="preserve">Torta de Chilaquiles</x:t>
        </x:is>
      </x:c>
      <x:c r="B26" s="24" t="str"/>
      <x:c r="C26" s="24" t="n"/>
      <x:c r="D26" s="24" t="str"/>
      <x:c r="E26" s="73" t="str">
        <x:f>IFERROR(XLOOKUP(B26,'Ingredient Prices'!$A$3:$A$100,'Ingredient Prices'!$G$3:$G$100,0),0)</x:f>
      </x:c>
      <x:c r="F26" s="73" t="n">
        <x:f>IFERROR(C26*E26,0)</x:f>
        <x:v>0</x:v>
      </x:c>
      <x:c r="G26" s="69" t="n"/>
      <x:c r="H26" s="73" t="n">
        <x:f>SUM(F26:G26)</x:f>
        <x:v>0</x:v>
      </x:c>
      <x:c r="I26" s="69" t="n"/>
      <x:c r="J26" s="24" t="str"/>
    </x:row>
    <x:row r="27">
      <x:c r="A27" s="24" t="inlineStr">
        <x:is>
          <x:t xml:space="preserve">Keto Chilaquiles</x:t>
        </x:is>
      </x:c>
      <x:c r="B27" s="24" t="str"/>
      <x:c r="C27" s="24" t="n"/>
      <x:c r="D27" s="24" t="str"/>
      <x:c r="E27" s="73" t="str">
        <x:f>IFERROR(XLOOKUP(B27,'Ingredient Prices'!$A$3:$A$100,'Ingredient Prices'!$G$3:$G$100,0),0)</x:f>
      </x:c>
      <x:c r="F27" s="73" t="n">
        <x:f>IFERROR(C27*E27,0)</x:f>
        <x:v>0</x:v>
      </x:c>
      <x:c r="G27" s="69" t="n"/>
      <x:c r="H27" s="73" t="n">
        <x:f>SUM(F27:G27)</x:f>
        <x:v>0</x:v>
      </x:c>
      <x:c r="I27" s="69" t="n"/>
      <x:c r="J27" s="24" t="str"/>
    </x:row>
    <x:row r="28">
      <x:c r="A28" s="24" t="inlineStr">
        <x:is>
          <x:t xml:space="preserve">Keto Chilaquiles</x:t>
        </x:is>
      </x:c>
      <x:c r="B28" s="24" t="str"/>
      <x:c r="C28" s="24" t="n"/>
      <x:c r="D28" s="24" t="str"/>
      <x:c r="E28" s="73" t="str">
        <x:f>IFERROR(XLOOKUP(B28,'Ingredient Prices'!$A$3:$A$100,'Ingredient Prices'!$G$3:$G$100,0),0)</x:f>
      </x:c>
      <x:c r="F28" s="73" t="n">
        <x:f>IFERROR(C28*E28,0)</x:f>
        <x:v>0</x:v>
      </x:c>
      <x:c r="G28" s="69" t="n"/>
      <x:c r="H28" s="73" t="n">
        <x:f>SUM(F28:G28)</x:f>
        <x:v>0</x:v>
      </x:c>
      <x:c r="I28" s="69" t="n"/>
      <x:c r="J28" s="24" t="str"/>
    </x:row>
    <x:row r="29">
      <x:c r="A29" s="24" t="inlineStr">
        <x:is>
          <x:t xml:space="preserve">Keto Chilaquiles</x:t>
        </x:is>
      </x:c>
      <x:c r="B29" s="24" t="str"/>
      <x:c r="C29" s="24" t="n"/>
      <x:c r="D29" s="24" t="str"/>
      <x:c r="E29" s="73" t="str">
        <x:f>IFERROR(XLOOKUP(B29,'Ingredient Prices'!$A$3:$A$100,'Ingredient Prices'!$G$3:$G$100,0),0)</x:f>
      </x:c>
      <x:c r="F29" s="73" t="n">
        <x:f>IFERROR(C29*E29,0)</x:f>
        <x:v>0</x:v>
      </x:c>
      <x:c r="G29" s="69" t="n"/>
      <x:c r="H29" s="73" t="n">
        <x:f>SUM(F29:G29)</x:f>
        <x:v>0</x:v>
      </x:c>
      <x:c r="I29" s="69" t="n"/>
      <x:c r="J29" s="24" t="str"/>
    </x:row>
    <x:row r="30">
      <x:c r="A30" s="24" t="inlineStr">
        <x:is>
          <x:t xml:space="preserve">Keto Chilaquiles</x:t>
        </x:is>
      </x:c>
      <x:c r="B30" s="24" t="str"/>
      <x:c r="C30" s="24" t="n"/>
      <x:c r="D30" s="24" t="str"/>
      <x:c r="E30" s="73" t="str">
        <x:f>IFERROR(XLOOKUP(B30,'Ingredient Prices'!$A$3:$A$100,'Ingredient Prices'!$G$3:$G$100,0),0)</x:f>
      </x:c>
      <x:c r="F30" s="73" t="n">
        <x:f>IFERROR(C30*E30,0)</x:f>
        <x:v>0</x:v>
      </x:c>
      <x:c r="G30" s="69" t="n"/>
      <x:c r="H30" s="73" t="n">
        <x:f>SUM(F30:G30)</x:f>
        <x:v>0</x:v>
      </x:c>
      <x:c r="I30" s="69" t="n"/>
      <x:c r="J30" s="24" t="str"/>
    </x:row>
    <x:row r="31">
      <x:c r="A31" s="24" t="inlineStr">
        <x:is>
          <x:t xml:space="preserve">Keto Chilaquiles</x:t>
        </x:is>
      </x:c>
      <x:c r="B31" s="24" t="str"/>
      <x:c r="C31" s="24" t="n"/>
      <x:c r="D31" s="24" t="str"/>
      <x:c r="E31" s="73" t="str">
        <x:f>IFERROR(XLOOKUP(B31,'Ingredient Prices'!$A$3:$A$100,'Ingredient Prices'!$G$3:$G$100,0),0)</x:f>
      </x:c>
      <x:c r="F31" s="73" t="n">
        <x:f>IFERROR(C31*E31,0)</x:f>
        <x:v>0</x:v>
      </x:c>
      <x:c r="G31" s="69" t="n"/>
      <x:c r="H31" s="73" t="n">
        <x:f>SUM(F31:G31)</x:f>
        <x:v>0</x:v>
      </x:c>
      <x:c r="I31" s="69" t="n"/>
      <x:c r="J31" s="24" t="str"/>
    </x:row>
    <x:row r="32">
      <x:c r="A32" s="24" t="inlineStr">
        <x:is>
          <x:t xml:space="preserve">Keto Chilaquiles</x:t>
        </x:is>
      </x:c>
      <x:c r="B32" s="24" t="str"/>
      <x:c r="C32" s="24" t="n"/>
      <x:c r="D32" s="24" t="str"/>
      <x:c r="E32" s="73" t="str">
        <x:f>IFERROR(XLOOKUP(B32,'Ingredient Prices'!$A$3:$A$100,'Ingredient Prices'!$G$3:$G$100,0),0)</x:f>
      </x:c>
      <x:c r="F32" s="73" t="n">
        <x:f>IFERROR(C32*E32,0)</x:f>
        <x:v>0</x:v>
      </x:c>
      <x:c r="G32" s="69" t="n"/>
      <x:c r="H32" s="73" t="n">
        <x:f>SUM(F32:G32)</x:f>
        <x:v>0</x:v>
      </x:c>
      <x:c r="I32" s="69" t="n"/>
      <x:c r="J32" s="24" t="str"/>
    </x:row>
    <x:row r="33">
      <x:c r="A33" s="24" t="inlineStr">
        <x:is>
          <x:t xml:space="preserve">Keto Chilaquiles</x:t>
        </x:is>
      </x:c>
      <x:c r="B33" s="24" t="str"/>
      <x:c r="C33" s="24" t="n"/>
      <x:c r="D33" s="24" t="str"/>
      <x:c r="E33" s="73" t="str">
        <x:f>IFERROR(XLOOKUP(B33,'Ingredient Prices'!$A$3:$A$100,'Ingredient Prices'!$G$3:$G$100,0),0)</x:f>
      </x:c>
      <x:c r="F33" s="73" t="n">
        <x:f>IFERROR(C33*E33,0)</x:f>
        <x:v>0</x:v>
      </x:c>
      <x:c r="G33" s="69" t="n"/>
      <x:c r="H33" s="73" t="n">
        <x:f>SUM(F33:G33)</x:f>
        <x:v>0</x:v>
      </x:c>
      <x:c r="I33" s="69" t="n"/>
      <x:c r="J33" s="24" t="str"/>
    </x:row>
    <x:row r="34">
      <x:c r="A34" s="24" t="inlineStr">
        <x:is>
          <x:t xml:space="preserve">Keto Chilaquiles</x:t>
        </x:is>
      </x:c>
      <x:c r="B34" s="24" t="str"/>
      <x:c r="C34" s="24" t="n"/>
      <x:c r="D34" s="24" t="str"/>
      <x:c r="E34" s="73" t="str">
        <x:f>IFERROR(XLOOKUP(B34,'Ingredient Prices'!$A$3:$A$100,'Ingredient Prices'!$G$3:$G$100,0),0)</x:f>
      </x:c>
      <x:c r="F34" s="73" t="n">
        <x:f>IFERROR(C34*E34,0)</x:f>
        <x:v>0</x:v>
      </x:c>
      <x:c r="G34" s="69" t="n"/>
      <x:c r="H34" s="73" t="n">
        <x:f>SUM(F34:G34)</x:f>
        <x:v>0</x:v>
      </x:c>
      <x:c r="I34" s="69" t="n"/>
      <x:c r="J34" s="24" t="str"/>
    </x:row>
    <x:row r="35">
      <x:c r="A35" s="24" t="inlineStr">
        <x:is>
          <x:t xml:space="preserve">Breakfast Burrito</x:t>
        </x:is>
      </x:c>
      <x:c r="B35" s="24" t="str"/>
      <x:c r="C35" s="24" t="n"/>
      <x:c r="D35" s="24" t="str"/>
      <x:c r="E35" s="73" t="str">
        <x:f>IFERROR(XLOOKUP(B35,'Ingredient Prices'!$A$3:$A$100,'Ingredient Prices'!$G$3:$G$100,0),0)</x:f>
      </x:c>
      <x:c r="F35" s="73" t="n">
        <x:f>IFERROR(C35*E35,0)</x:f>
        <x:v>0</x:v>
      </x:c>
      <x:c r="G35" s="69" t="n"/>
      <x:c r="H35" s="73" t="n">
        <x:f>SUM(F35:G35)</x:f>
        <x:v>0</x:v>
      </x:c>
      <x:c r="I35" s="69" t="n"/>
      <x:c r="J35" s="24" t="str"/>
    </x:row>
    <x:row r="36">
      <x:c r="A36" s="24" t="inlineStr">
        <x:is>
          <x:t xml:space="preserve">Breakfast Burrito</x:t>
        </x:is>
      </x:c>
      <x:c r="B36" s="24" t="str"/>
      <x:c r="C36" s="24" t="n"/>
      <x:c r="D36" s="24" t="str"/>
      <x:c r="E36" s="73" t="str">
        <x:f>IFERROR(XLOOKUP(B36,'Ingredient Prices'!$A$3:$A$100,'Ingredient Prices'!$G$3:$G$100,0),0)</x:f>
      </x:c>
      <x:c r="F36" s="73" t="n">
        <x:f>IFERROR(C36*E36,0)</x:f>
        <x:v>0</x:v>
      </x:c>
      <x:c r="G36" s="69" t="n"/>
      <x:c r="H36" s="73" t="n">
        <x:f>SUM(F36:G36)</x:f>
        <x:v>0</x:v>
      </x:c>
      <x:c r="I36" s="69" t="n"/>
      <x:c r="J36" s="24" t="str"/>
    </x:row>
    <x:row r="37">
      <x:c r="A37" s="24" t="inlineStr">
        <x:is>
          <x:t xml:space="preserve">Breakfast Burrito</x:t>
        </x:is>
      </x:c>
      <x:c r="B37" s="24" t="str"/>
      <x:c r="C37" s="24" t="n"/>
      <x:c r="D37" s="24" t="str"/>
      <x:c r="E37" s="73" t="str">
        <x:f>IFERROR(XLOOKUP(B37,'Ingredient Prices'!$A$3:$A$100,'Ingredient Prices'!$G$3:$G$100,0),0)</x:f>
      </x:c>
      <x:c r="F37" s="73" t="n">
        <x:f>IFERROR(C37*E37,0)</x:f>
        <x:v>0</x:v>
      </x:c>
      <x:c r="G37" s="69" t="n"/>
      <x:c r="H37" s="73" t="n">
        <x:f>SUM(F37:G37)</x:f>
        <x:v>0</x:v>
      </x:c>
      <x:c r="I37" s="69" t="n"/>
      <x:c r="J37" s="24" t="str"/>
    </x:row>
    <x:row r="38">
      <x:c r="A38" s="24" t="inlineStr">
        <x:is>
          <x:t xml:space="preserve">Breakfast Burrito</x:t>
        </x:is>
      </x:c>
      <x:c r="B38" s="24" t="str"/>
      <x:c r="C38" s="24" t="n"/>
      <x:c r="D38" s="24" t="str"/>
      <x:c r="E38" s="73" t="str">
        <x:f>IFERROR(XLOOKUP(B38,'Ingredient Prices'!$A$3:$A$100,'Ingredient Prices'!$G$3:$G$100,0),0)</x:f>
      </x:c>
      <x:c r="F38" s="73" t="n">
        <x:f>IFERROR(C38*E38,0)</x:f>
        <x:v>0</x:v>
      </x:c>
      <x:c r="G38" s="69" t="n"/>
      <x:c r="H38" s="73" t="n">
        <x:f>SUM(F38:G38)</x:f>
        <x:v>0</x:v>
      </x:c>
      <x:c r="I38" s="69" t="n"/>
      <x:c r="J38" s="24" t="str"/>
    </x:row>
    <x:row r="39">
      <x:c r="A39" s="24" t="inlineStr">
        <x:is>
          <x:t xml:space="preserve">Breakfast Burrito</x:t>
        </x:is>
      </x:c>
      <x:c r="B39" s="24" t="str"/>
      <x:c r="C39" s="24" t="n"/>
      <x:c r="D39" s="24" t="str"/>
      <x:c r="E39" s="73" t="str">
        <x:f>IFERROR(XLOOKUP(B39,'Ingredient Prices'!$A$3:$A$100,'Ingredient Prices'!$G$3:$G$100,0),0)</x:f>
      </x:c>
      <x:c r="F39" s="73" t="n">
        <x:f>IFERROR(C39*E39,0)</x:f>
        <x:v>0</x:v>
      </x:c>
      <x:c r="G39" s="69" t="n"/>
      <x:c r="H39" s="73" t="n">
        <x:f>SUM(F39:G39)</x:f>
        <x:v>0</x:v>
      </x:c>
      <x:c r="I39" s="69" t="n"/>
      <x:c r="J39" s="24" t="str"/>
    </x:row>
    <x:row r="40">
      <x:c r="A40" s="24" t="inlineStr">
        <x:is>
          <x:t xml:space="preserve">Breakfast Burrito</x:t>
        </x:is>
      </x:c>
      <x:c r="B40" s="24" t="str"/>
      <x:c r="C40" s="24" t="n"/>
      <x:c r="D40" s="24" t="str"/>
      <x:c r="E40" s="73" t="str">
        <x:f>IFERROR(XLOOKUP(B40,'Ingredient Prices'!$A$3:$A$100,'Ingredient Prices'!$G$3:$G$100,0),0)</x:f>
      </x:c>
      <x:c r="F40" s="73" t="n">
        <x:f>IFERROR(C40*E40,0)</x:f>
        <x:v>0</x:v>
      </x:c>
      <x:c r="G40" s="69" t="n"/>
      <x:c r="H40" s="73" t="n">
        <x:f>SUM(F40:G40)</x:f>
        <x:v>0</x:v>
      </x:c>
      <x:c r="I40" s="69" t="n"/>
      <x:c r="J40" s="24" t="str"/>
    </x:row>
    <x:row r="41">
      <x:c r="A41" s="24" t="inlineStr">
        <x:is>
          <x:t xml:space="preserve">Breakfast Burrito</x:t>
        </x:is>
      </x:c>
      <x:c r="B41" s="24" t="str"/>
      <x:c r="C41" s="24" t="n"/>
      <x:c r="D41" s="24" t="str"/>
      <x:c r="E41" s="73" t="str">
        <x:f>IFERROR(XLOOKUP(B41,'Ingredient Prices'!$A$3:$A$100,'Ingredient Prices'!$G$3:$G$100,0),0)</x:f>
      </x:c>
      <x:c r="F41" s="73" t="n">
        <x:f>IFERROR(C41*E41,0)</x:f>
        <x:v>0</x:v>
      </x:c>
      <x:c r="G41" s="69" t="n"/>
      <x:c r="H41" s="73" t="n">
        <x:f>SUM(F41:G41)</x:f>
        <x:v>0</x:v>
      </x:c>
      <x:c r="I41" s="69" t="n"/>
      <x:c r="J41" s="24" t="str"/>
    </x:row>
    <x:row r="42">
      <x:c r="A42" s="24" t="inlineStr">
        <x:is>
          <x:t xml:space="preserve">Breakfast Burrito</x:t>
        </x:is>
      </x:c>
      <x:c r="B42" s="24" t="str"/>
      <x:c r="C42" s="24" t="n"/>
      <x:c r="D42" s="24" t="str"/>
      <x:c r="E42" s="73" t="str">
        <x:f>IFERROR(XLOOKUP(B42,'Ingredient Prices'!$A$3:$A$100,'Ingredient Prices'!$G$3:$G$100,0),0)</x:f>
      </x:c>
      <x:c r="F42" s="73" t="n">
        <x:f>IFERROR(C42*E42,0)</x:f>
        <x:v>0</x:v>
      </x:c>
      <x:c r="G42" s="69" t="n"/>
      <x:c r="H42" s="73" t="n">
        <x:f>SUM(F42:G42)</x:f>
        <x:v>0</x:v>
      </x:c>
      <x:c r="I42" s="69" t="n"/>
      <x:c r="J42" s="24" t="str"/>
    </x:row>
    <x:row r="43">
      <x:c r="A43" s="24" t="inlineStr">
        <x:is>
          <x:t xml:space="preserve">Chorizo &amp; Egg Burrito</x:t>
        </x:is>
      </x:c>
      <x:c r="B43" s="24" t="str"/>
      <x:c r="C43" s="24" t="n"/>
      <x:c r="D43" s="24" t="str"/>
      <x:c r="E43" s="73" t="str">
        <x:f>IFERROR(XLOOKUP(B43,'Ingredient Prices'!$A$3:$A$100,'Ingredient Prices'!$G$3:$G$100,0),0)</x:f>
      </x:c>
      <x:c r="F43" s="73" t="n">
        <x:f>IFERROR(C43*E43,0)</x:f>
        <x:v>0</x:v>
      </x:c>
      <x:c r="G43" s="69" t="n"/>
      <x:c r="H43" s="73" t="n">
        <x:f>SUM(F43:G43)</x:f>
        <x:v>0</x:v>
      </x:c>
      <x:c r="I43" s="69" t="n"/>
      <x:c r="J43" s="24" t="str"/>
    </x:row>
    <x:row r="44">
      <x:c r="A44" s="24" t="inlineStr">
        <x:is>
          <x:t xml:space="preserve">Chorizo &amp; Egg Burrito</x:t>
        </x:is>
      </x:c>
      <x:c r="B44" s="24" t="str"/>
      <x:c r="C44" s="24" t="n"/>
      <x:c r="D44" s="24" t="str"/>
      <x:c r="E44" s="73" t="str">
        <x:f>IFERROR(XLOOKUP(B44,'Ingredient Prices'!$A$3:$A$100,'Ingredient Prices'!$G$3:$G$100,0),0)</x:f>
      </x:c>
      <x:c r="F44" s="73" t="n">
        <x:f>IFERROR(C44*E44,0)</x:f>
        <x:v>0</x:v>
      </x:c>
      <x:c r="G44" s="69" t="n"/>
      <x:c r="H44" s="73" t="n">
        <x:f>SUM(F44:G44)</x:f>
        <x:v>0</x:v>
      </x:c>
      <x:c r="I44" s="69" t="n"/>
      <x:c r="J44" s="24" t="str"/>
    </x:row>
    <x:row r="45">
      <x:c r="A45" s="24" t="inlineStr">
        <x:is>
          <x:t xml:space="preserve">Chorizo &amp; Egg Burrito</x:t>
        </x:is>
      </x:c>
      <x:c r="B45" s="24" t="str"/>
      <x:c r="C45" s="24" t="n"/>
      <x:c r="D45" s="24" t="str"/>
      <x:c r="E45" s="73" t="str">
        <x:f>IFERROR(XLOOKUP(B45,'Ingredient Prices'!$A$3:$A$100,'Ingredient Prices'!$G$3:$G$100,0),0)</x:f>
      </x:c>
      <x:c r="F45" s="73" t="n">
        <x:f>IFERROR(C45*E45,0)</x:f>
        <x:v>0</x:v>
      </x:c>
      <x:c r="G45" s="69" t="n"/>
      <x:c r="H45" s="73" t="n">
        <x:f>SUM(F45:G45)</x:f>
        <x:v>0</x:v>
      </x:c>
      <x:c r="I45" s="69" t="n"/>
      <x:c r="J45" s="24" t="str"/>
    </x:row>
    <x:row r="46">
      <x:c r="A46" s="24" t="inlineStr">
        <x:is>
          <x:t xml:space="preserve">Chorizo &amp; Egg Burrito</x:t>
        </x:is>
      </x:c>
      <x:c r="B46" s="24" t="str"/>
      <x:c r="C46" s="24" t="n"/>
      <x:c r="D46" s="24" t="str"/>
      <x:c r="E46" s="73" t="str">
        <x:f>IFERROR(XLOOKUP(B46,'Ingredient Prices'!$A$3:$A$100,'Ingredient Prices'!$G$3:$G$100,0),0)</x:f>
      </x:c>
      <x:c r="F46" s="73" t="n">
        <x:f>IFERROR(C46*E46,0)</x:f>
        <x:v>0</x:v>
      </x:c>
      <x:c r="G46" s="69" t="n"/>
      <x:c r="H46" s="73" t="n">
        <x:f>SUM(F46:G46)</x:f>
        <x:v>0</x:v>
      </x:c>
      <x:c r="I46" s="69" t="n"/>
      <x:c r="J46" s="24" t="str"/>
    </x:row>
    <x:row r="47">
      <x:c r="A47" s="24" t="inlineStr">
        <x:is>
          <x:t xml:space="preserve">Chorizo &amp; Egg Burrito</x:t>
        </x:is>
      </x:c>
      <x:c r="B47" s="24" t="str"/>
      <x:c r="C47" s="24" t="n"/>
      <x:c r="D47" s="24" t="str"/>
      <x:c r="E47" s="73" t="str">
        <x:f>IFERROR(XLOOKUP(B47,'Ingredient Prices'!$A$3:$A$100,'Ingredient Prices'!$G$3:$G$100,0),0)</x:f>
      </x:c>
      <x:c r="F47" s="73" t="n">
        <x:f>IFERROR(C47*E47,0)</x:f>
        <x:v>0</x:v>
      </x:c>
      <x:c r="G47" s="69" t="n"/>
      <x:c r="H47" s="73" t="n">
        <x:f>SUM(F47:G47)</x:f>
        <x:v>0</x:v>
      </x:c>
      <x:c r="I47" s="69" t="n"/>
      <x:c r="J47" s="24" t="str"/>
    </x:row>
    <x:row r="48">
      <x:c r="A48" s="24" t="inlineStr">
        <x:is>
          <x:t xml:space="preserve">Chorizo &amp; Egg Burrito</x:t>
        </x:is>
      </x:c>
      <x:c r="B48" s="24" t="str"/>
      <x:c r="C48" s="24" t="n"/>
      <x:c r="D48" s="24" t="str"/>
      <x:c r="E48" s="73" t="str">
        <x:f>IFERROR(XLOOKUP(B48,'Ingredient Prices'!$A$3:$A$100,'Ingredient Prices'!$G$3:$G$100,0),0)</x:f>
      </x:c>
      <x:c r="F48" s="73" t="n">
        <x:f>IFERROR(C48*E48,0)</x:f>
        <x:v>0</x:v>
      </x:c>
      <x:c r="G48" s="69" t="n"/>
      <x:c r="H48" s="73" t="n">
        <x:f>SUM(F48:G48)</x:f>
        <x:v>0</x:v>
      </x:c>
      <x:c r="I48" s="69" t="n"/>
      <x:c r="J48" s="24" t="str"/>
    </x:row>
    <x:row r="49">
      <x:c r="A49" s="24" t="inlineStr">
        <x:is>
          <x:t xml:space="preserve">Chorizo &amp; Egg Burrito</x:t>
        </x:is>
      </x:c>
      <x:c r="B49" s="24" t="str"/>
      <x:c r="C49" s="24" t="n"/>
      <x:c r="D49" s="24" t="str"/>
      <x:c r="E49" s="73" t="str">
        <x:f>IFERROR(XLOOKUP(B49,'Ingredient Prices'!$A$3:$A$100,'Ingredient Prices'!$G$3:$G$100,0),0)</x:f>
      </x:c>
      <x:c r="F49" s="73" t="n">
        <x:f>IFERROR(C49*E49,0)</x:f>
        <x:v>0</x:v>
      </x:c>
      <x:c r="G49" s="69" t="n"/>
      <x:c r="H49" s="73" t="n">
        <x:f>SUM(F49:G49)</x:f>
        <x:v>0</x:v>
      </x:c>
      <x:c r="I49" s="69" t="n"/>
      <x:c r="J49" s="24" t="str"/>
    </x:row>
    <x:row r="50">
      <x:c r="A50" s="24" t="inlineStr">
        <x:is>
          <x:t xml:space="preserve">Chorizo &amp; Egg Burrito</x:t>
        </x:is>
      </x:c>
      <x:c r="B50" s="24" t="str"/>
      <x:c r="C50" s="24" t="n"/>
      <x:c r="D50" s="24" t="str"/>
      <x:c r="E50" s="73" t="str">
        <x:f>IFERROR(XLOOKUP(B50,'Ingredient Prices'!$A$3:$A$100,'Ingredient Prices'!$G$3:$G$100,0),0)</x:f>
      </x:c>
      <x:c r="F50" s="73" t="n">
        <x:f>IFERROR(C50*E50,0)</x:f>
        <x:v>0</x:v>
      </x:c>
      <x:c r="G50" s="69" t="n"/>
      <x:c r="H50" s="73" t="n">
        <x:f>SUM(F50:G50)</x:f>
        <x:v>0</x:v>
      </x:c>
      <x:c r="I50" s="69" t="n"/>
      <x:c r="J50" s="24" t="str"/>
    </x:row>
    <x:row r="51">
      <x:c r="A51" s="24" t="inlineStr">
        <x:is>
          <x:t xml:space="preserve">Breakfast Bowl</x:t>
        </x:is>
      </x:c>
      <x:c r="B51" s="24" t="str"/>
      <x:c r="C51" s="24" t="n"/>
      <x:c r="D51" s="24" t="str"/>
      <x:c r="E51" s="73" t="str">
        <x:f>IFERROR(XLOOKUP(B51,'Ingredient Prices'!$A$3:$A$100,'Ingredient Prices'!$G$3:$G$100,0),0)</x:f>
      </x:c>
      <x:c r="F51" s="73" t="n">
        <x:f>IFERROR(C51*E51,0)</x:f>
        <x:v>0</x:v>
      </x:c>
      <x:c r="G51" s="69" t="n"/>
      <x:c r="H51" s="73" t="n">
        <x:f>SUM(F51:G51)</x:f>
        <x:v>0</x:v>
      </x:c>
      <x:c r="I51" s="69" t="n"/>
      <x:c r="J51" s="24" t="str"/>
    </x:row>
    <x:row r="52">
      <x:c r="A52" s="24" t="inlineStr">
        <x:is>
          <x:t xml:space="preserve">Breakfast Bowl</x:t>
        </x:is>
      </x:c>
      <x:c r="B52" s="24" t="str"/>
      <x:c r="C52" s="24" t="n"/>
      <x:c r="D52" s="24" t="str"/>
      <x:c r="E52" s="73" t="str">
        <x:f>IFERROR(XLOOKUP(B52,'Ingredient Prices'!$A$3:$A$100,'Ingredient Prices'!$G$3:$G$100,0),0)</x:f>
      </x:c>
      <x:c r="F52" s="73" t="n">
        <x:f>IFERROR(C52*E52,0)</x:f>
        <x:v>0</x:v>
      </x:c>
      <x:c r="G52" s="69" t="n"/>
      <x:c r="H52" s="73" t="n">
        <x:f>SUM(F52:G52)</x:f>
        <x:v>0</x:v>
      </x:c>
      <x:c r="I52" s="69" t="n"/>
      <x:c r="J52" s="24" t="str"/>
    </x:row>
    <x:row r="53">
      <x:c r="A53" s="24" t="inlineStr">
        <x:is>
          <x:t xml:space="preserve">Breakfast Bowl</x:t>
        </x:is>
      </x:c>
      <x:c r="B53" s="24" t="str"/>
      <x:c r="C53" s="24" t="n"/>
      <x:c r="D53" s="24" t="str"/>
      <x:c r="E53" s="73" t="str">
        <x:f>IFERROR(XLOOKUP(B53,'Ingredient Prices'!$A$3:$A$100,'Ingredient Prices'!$G$3:$G$100,0),0)</x:f>
      </x:c>
      <x:c r="F53" s="73" t="n">
        <x:f>IFERROR(C53*E53,0)</x:f>
        <x:v>0</x:v>
      </x:c>
      <x:c r="G53" s="69" t="n"/>
      <x:c r="H53" s="73" t="n">
        <x:f>SUM(F53:G53)</x:f>
        <x:v>0</x:v>
      </x:c>
      <x:c r="I53" s="69" t="n"/>
      <x:c r="J53" s="24" t="str"/>
    </x:row>
    <x:row r="54">
      <x:c r="A54" s="24" t="inlineStr">
        <x:is>
          <x:t xml:space="preserve">Breakfast Bowl</x:t>
        </x:is>
      </x:c>
      <x:c r="B54" s="24" t="str"/>
      <x:c r="C54" s="24" t="n"/>
      <x:c r="D54" s="24" t="str"/>
      <x:c r="E54" s="73" t="str">
        <x:f>IFERROR(XLOOKUP(B54,'Ingredient Prices'!$A$3:$A$100,'Ingredient Prices'!$G$3:$G$100,0),0)</x:f>
      </x:c>
      <x:c r="F54" s="73" t="n">
        <x:f>IFERROR(C54*E54,0)</x:f>
        <x:v>0</x:v>
      </x:c>
      <x:c r="G54" s="69" t="n"/>
      <x:c r="H54" s="73" t="n">
        <x:f>SUM(F54:G54)</x:f>
        <x:v>0</x:v>
      </x:c>
      <x:c r="I54" s="69" t="n"/>
      <x:c r="J54" s="24" t="str"/>
    </x:row>
    <x:row r="55">
      <x:c r="A55" s="24" t="inlineStr">
        <x:is>
          <x:t xml:space="preserve">Breakfast Bowl</x:t>
        </x:is>
      </x:c>
      <x:c r="B55" s="24" t="str"/>
      <x:c r="C55" s="24" t="n"/>
      <x:c r="D55" s="24" t="str"/>
      <x:c r="E55" s="73" t="str">
        <x:f>IFERROR(XLOOKUP(B55,'Ingredient Prices'!$A$3:$A$100,'Ingredient Prices'!$G$3:$G$100,0),0)</x:f>
      </x:c>
      <x:c r="F55" s="73" t="n">
        <x:f>IFERROR(C55*E55,0)</x:f>
        <x:v>0</x:v>
      </x:c>
      <x:c r="G55" s="69" t="n"/>
      <x:c r="H55" s="73" t="n">
        <x:f>SUM(F55:G55)</x:f>
        <x:v>0</x:v>
      </x:c>
      <x:c r="I55" s="69" t="n"/>
      <x:c r="J55" s="24" t="str"/>
    </x:row>
    <x:row r="56">
      <x:c r="A56" s="24" t="inlineStr">
        <x:is>
          <x:t xml:space="preserve">Breakfast Bowl</x:t>
        </x:is>
      </x:c>
      <x:c r="B56" s="24" t="str"/>
      <x:c r="C56" s="24" t="n"/>
      <x:c r="D56" s="24" t="str"/>
      <x:c r="E56" s="73" t="str">
        <x:f>IFERROR(XLOOKUP(B56,'Ingredient Prices'!$A$3:$A$100,'Ingredient Prices'!$G$3:$G$100,0),0)</x:f>
      </x:c>
      <x:c r="F56" s="73" t="n">
        <x:f>IFERROR(C56*E56,0)</x:f>
        <x:v>0</x:v>
      </x:c>
      <x:c r="G56" s="69" t="n"/>
      <x:c r="H56" s="73" t="n">
        <x:f>SUM(F56:G56)</x:f>
        <x:v>0</x:v>
      </x:c>
      <x:c r="I56" s="69" t="n"/>
      <x:c r="J56" s="24" t="str"/>
    </x:row>
    <x:row r="57">
      <x:c r="A57" s="24" t="inlineStr">
        <x:is>
          <x:t xml:space="preserve">Breakfast Bowl</x:t>
        </x:is>
      </x:c>
      <x:c r="B57" s="24" t="str"/>
      <x:c r="C57" s="24" t="n"/>
      <x:c r="D57" s="24" t="str"/>
      <x:c r="E57" s="73" t="str">
        <x:f>IFERROR(XLOOKUP(B57,'Ingredient Prices'!$A$3:$A$100,'Ingredient Prices'!$G$3:$G$100,0),0)</x:f>
      </x:c>
      <x:c r="F57" s="73" t="n">
        <x:f>IFERROR(C57*E57,0)</x:f>
        <x:v>0</x:v>
      </x:c>
      <x:c r="G57" s="69" t="n"/>
      <x:c r="H57" s="73" t="n">
        <x:f>SUM(F57:G57)</x:f>
        <x:v>0</x:v>
      </x:c>
      <x:c r="I57" s="69" t="n"/>
      <x:c r="J57" s="24" t="str"/>
    </x:row>
    <x:row r="58">
      <x:c r="A58" s="24" t="inlineStr">
        <x:is>
          <x:t xml:space="preserve">Breakfast Bowl</x:t>
        </x:is>
      </x:c>
      <x:c r="B58" s="24" t="str"/>
      <x:c r="C58" s="24" t="n"/>
      <x:c r="D58" s="24" t="str"/>
      <x:c r="E58" s="73" t="str">
        <x:f>IFERROR(XLOOKUP(B58,'Ingredient Prices'!$A$3:$A$100,'Ingredient Prices'!$G$3:$G$100,0),0)</x:f>
      </x:c>
      <x:c r="F58" s="73" t="n">
        <x:f>IFERROR(C58*E58,0)</x:f>
        <x:v>0</x:v>
      </x:c>
      <x:c r="G58" s="69" t="n"/>
      <x:c r="H58" s="73" t="n">
        <x:f>SUM(F58:G58)</x:f>
        <x:v>0</x:v>
      </x:c>
      <x:c r="I58" s="69" t="n"/>
      <x:c r="J58" s="24" t="str"/>
    </x:row>
    <x:row r="67">
      <x:c r="A67" t="inlineStr">
        <x:is>
          <x:t xml:space="preserve">OG Breakfast Burrito</x:t>
        </x:is>
      </x:c>
      <x:c r="B67" t="inlineStr">
        <x:is>
          <x:t xml:space="preserve">12 in Flour Tortilla</x:t>
        </x:is>
      </x:c>
      <x:c r="C67" t="n">
        <x:v>1</x:v>
      </x:c>
      <x:c r="D67" t="inlineStr">
        <x:is>
          <x:t xml:space="preserve">each</x:t>
        </x:is>
      </x:c>
      <x:c r="E67" t="n">
        <x:f>IFERROR(XLOOKUP(B67,'Ingredient Prices'!$A$3:$A$100,'Ingredient Prices'!$G$3:$G$100,0),0)</x:f>
        <x:v>0.3125</x:v>
      </x:c>
      <x:c r="F67" t="n">
        <x:f>IFERROR(C67*E67,0)</x:f>
        <x:v>0.3125</x:v>
      </x:c>
      <x:c r="G67" t="n">
        <x:v>0</x:v>
      </x:c>
      <x:c r="H67" t="n">
        <x:f>SUM(F67:G67)</x:f>
        <x:v>0.3125</x:v>
      </x:c>
      <x:c r="J67" t="inlineStr">
        <x:is>
          <x:t xml:space="preserve"/>
        </x:is>
      </x:c>
    </x:row>
    <x:row r="68">
      <x:c r="A68" t="inlineStr">
        <x:is>
          <x:t xml:space="preserve">OG Breakfast Burrito</x:t>
        </x:is>
      </x:c>
      <x:c r="B68" t="inlineStr">
        <x:is>
          <x:t xml:space="preserve">Egg</x:t>
        </x:is>
      </x:c>
      <x:c r="C68" t="n">
        <x:v>3</x:v>
      </x:c>
      <x:c r="D68" t="inlineStr">
        <x:is>
          <x:t xml:space="preserve">each</x:t>
        </x:is>
      </x:c>
      <x:c r="E68" t="n">
        <x:f>'Ingredient Prices'!G30</x:f>
        <x:v>0.140625</x:v>
      </x:c>
      <x:c r="F68" t="n">
        <x:f>IFERROR(C68*E68,0)</x:f>
        <x:v>0.421875</x:v>
      </x:c>
      <x:c r="G68" t="n">
        <x:v>0</x:v>
      </x:c>
      <x:c r="H68" t="n">
        <x:f>SUM(F68:G68)</x:f>
        <x:v>0.421875</x:v>
      </x:c>
      <x:c r="J68" t="inlineStr">
        <x:is>
          <x:t xml:space="preserve">Scrambled</x:t>
        </x:is>
      </x:c>
    </x:row>
    <x:row r="69">
      <x:c r="A69" t="inlineStr">
        <x:is>
          <x:t xml:space="preserve">OG Breakfast Burrito</x:t>
        </x:is>
      </x:c>
      <x:c r="B69" t="inlineStr">
        <x:is>
          <x:t xml:space="preserve">Thick Cut Bacon</x:t>
        </x:is>
      </x:c>
      <x:c r="C69" t="n">
        <x:v>3</x:v>
      </x:c>
      <x:c r="D69" t="inlineStr">
        <x:is>
          <x:t xml:space="preserve">oz</x:t>
        </x:is>
      </x:c>
      <x:c r="E69" t="n">
        <x:f>IFERROR(XLOOKUP(B69,'Ingredient Prices'!$A$3:$A$100,'Ingredient Prices'!$G$3:$G$100,0),0)</x:f>
        <x:v>0.25734375</x:v>
      </x:c>
      <x:c r="F69" t="n">
        <x:f>IFERROR(C69*E69,0)</x:f>
        <x:v>0.77203125</x:v>
      </x:c>
      <x:c r="G69" t="n">
        <x:v>0</x:v>
      </x:c>
      <x:c r="H69" t="n">
        <x:f>SUM(F69:G69)</x:f>
        <x:v>0.77203125</x:v>
      </x:c>
      <x:c r="J69" t="inlineStr">
        <x:is>
          <x:t xml:space="preserve"/>
        </x:is>
      </x:c>
    </x:row>
    <x:row r="70">
      <x:c r="A70" t="inlineStr">
        <x:is>
          <x:t xml:space="preserve">OG Breakfast Burrito</x:t>
        </x:is>
      </x:c>
      <x:c r="B70" t="inlineStr">
        <x:is>
          <x:t xml:space="preserve">Monterey Jack Cheese</x:t>
        </x:is>
      </x:c>
      <x:c r="C70" t="n">
        <x:v>6</x:v>
      </x:c>
      <x:c r="D70" t="inlineStr">
        <x:is>
          <x:t xml:space="preserve">oz</x:t>
        </x:is>
      </x:c>
      <x:c r="E70" t="n">
        <x:f>IFERROR(XLOOKUP(B70,'Ingredient Prices'!$A$3:$A$100,'Ingredient Prices'!$G$3:$G$100,0),0)</x:f>
        <x:v>0.15625</x:v>
      </x:c>
      <x:c r="F70" t="n">
        <x:f>IFERROR(C70*E70,0)</x:f>
        <x:v>0.9375</x:v>
      </x:c>
      <x:c r="G70" t="n">
        <x:v>0</x:v>
      </x:c>
      <x:c r="H70" t="n">
        <x:f>SUM(F70:G70)</x:f>
        <x:v>0.9375</x:v>
      </x:c>
      <x:c r="J70" t="inlineStr">
        <x:is>
          <x:t xml:space="preserve"/>
        </x:is>
      </x:c>
    </x:row>
    <x:row r="71">
      <x:c r="A71" t="inlineStr">
        <x:is>
          <x:t xml:space="preserve">OG Breakfast Burrito</x:t>
        </x:is>
      </x:c>
      <x:c r="B71" t="inlineStr">
        <x:is>
          <x:t xml:space="preserve">Tater Tots</x:t>
        </x:is>
      </x:c>
      <x:c r="C71" t="n">
        <x:v>7.6</x:v>
      </x:c>
      <x:c r="D71" t="inlineStr">
        <x:is>
          <x:t xml:space="preserve">oz</x:t>
        </x:is>
      </x:c>
      <x:c r="E71" t="n">
        <x:f>'Ingredient Prices'!G32</x:f>
        <x:v>0.1038125</x:v>
      </x:c>
      <x:c r="F71" t="n">
        <x:f>IFERROR(C71*E71,0)</x:f>
        <x:v>0.788975</x:v>
      </x:c>
      <x:c r="G71" t="n">
        <x:v>0</x:v>
      </x:c>
      <x:c r="H71" t="n">
        <x:f>SUM(F71:G71)</x:f>
        <x:v>0.788975</x:v>
      </x:c>
      <x:c r="J71" t="inlineStr">
        <x:is>
          <x:t xml:space="preserve">~25 pieces</x:t>
        </x:is>
      </x:c>
    </x:row>
    <x:row r="72">
      <x:c r="A72" t="inlineStr">
        <x:is>
          <x:t xml:space="preserve">OG Breakfast Burrito</x:t>
        </x:is>
      </x:c>
      <x:c r="B72" t="inlineStr">
        <x:is>
          <x:t xml:space="preserve">Wrapping Paper</x:t>
        </x:is>
      </x:c>
      <x:c r="C72" t="n">
        <x:v>1</x:v>
      </x:c>
      <x:c r="D72" t="inlineStr">
        <x:is>
          <x:t xml:space="preserve">sheet</x:t>
        </x:is>
      </x:c>
      <x:c r="E72" t="n">
        <x:f>IFERROR(XLOOKUP(B72,'Ingredient Prices'!$A$3:$A$100,'Ingredient Prices'!$G$3:$G$100,0),0)</x:f>
        <x:v>0.02</x:v>
      </x:c>
      <x:c r="F72" t="n">
        <x:f>IFERROR(C72*E72,0)</x:f>
        <x:v>0.02</x:v>
      </x:c>
      <x:c r="G72" t="n">
        <x:v>0</x:v>
      </x:c>
      <x:c r="H72" t="n">
        <x:f>SUM(F72:G72)</x:f>
        <x:v>0.02</x:v>
      </x:c>
      <x:c r="J72" t="inlineStr">
        <x:is>
          <x:t xml:space="preserve">No salsa</x:t>
        </x:is>
      </x:c>
    </x:row>
    <x:row r="73">
      <x:c r="A73" t="str">
        <x:v>OG Breakfast Burrito</x:v>
      </x:c>
      <x:c r="B73" t="str">
        <x:v>Breakfast Sausage</x:v>
      </x:c>
      <x:c r="C73" t="n">
        <x:v>2</x:v>
      </x:c>
      <x:c r="D73" t="str">
        <x:v>each</x:v>
      </x:c>
      <x:c r="E73" s="102" t="n">
        <x:f>IFERROR(XLOOKUP(B73,'Ingredient Prices'!$A$3:$A$100,'Ingredient Prices'!$G$3:$G$100,0),0)</x:f>
        <x:v>0.19094999999999998</x:v>
      </x:c>
      <x:c r="F73" s="102" t="n">
        <x:f>IFERROR(C73*E73,0)</x:f>
        <x:v>0.38189999999999996</x:v>
      </x:c>
      <x:c r="G73" s="102" t="n">
        <x:v>0</x:v>
      </x:c>
      <x:c r="H73" s="102" t="n">
        <x:f>SUM(F73:G73)</x:f>
        <x:v>0.38189999999999996</x:v>
      </x:c>
      <x:c r="I73"/>
      <x:c r="J73" t="str">
        <x:v>2 links</x:v>
      </x:c>
    </x:row>
  </x:sheetData>
  <x:mergeCells>
    <x:mergeCell ref="A1:J1"/>
  </x:mergeCells>
  <x:dataValidations count="1">
    <x:dataValidation type="list" allowBlank="0" showDropDown="0" showInputMessage="0" showErrorMessage="0" sqref="B3:B58">
      <x:formula1>'Ingredient Prices'!$A$3:$A$100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30" customWidth="1"/>
    <x:col min="2" max="2" width="18" style="30" customWidth="1"/>
    <x:col min="3" max="3" width="14" style="30" customWidth="1"/>
    <x:col min="4" max="4" width="15" style="30" customWidth="1"/>
    <x:col min="5" max="5" width="16" style="30" customWidth="1"/>
    <x:col min="6" max="6" width="13" style="30" customWidth="1"/>
    <x:col min="7" max="7" width="17" style="30" customWidth="1"/>
    <x:col min="8" max="8" width="24" style="30" customWidth="1"/>
    <x:col min="10" max="10" width="30" style="30" customWidth="1"/>
    <x:col min="11" max="11" width="17" style="30" customWidth="1"/>
    <x:col min="12" max="12" width="42" style="30" customWidth="1"/>
    <x:col min="13" max="13" width="31" style="30" customWidth="1"/>
    <x:col min="14" max="14" width="16" style="30" customWidth="1"/>
    <x:col min="16" max="16" width="26" style="30" customWidth="1"/>
    <x:col min="17" max="17" width="17" style="30" customWidth="1"/>
    <x:col min="18" max="18" width="22" style="30" customWidth="1"/>
    <x:col min="19" max="19" width="18" style="30" customWidth="1"/>
    <x:col min="20" max="20" width="24" style="30" customWidth="1"/>
    <x:col min="21" max="21" width="20" style="30" customWidth="1"/>
    <x:col min="22" max="22" width="20" style="30" customWidth="1"/>
    <x:col min="23" max="23" width="14" style="30" customWidth="1"/>
  </x:cols>
  <x:sheetData>
    <x:row r="1">
      <x:c r="A1" s="9" t="inlineStr">
        <x:is>
          <x:t xml:space="preserve">CHILAKIL TO GO — MENU FOOD COST SUMMARY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4" t="inlineStr">
        <x:is>
          <x:t xml:space="preserve">Menu Item</x:t>
        </x:is>
      </x:c>
      <x:c r="B2" s="14" t="inlineStr">
        <x:is>
          <x:t xml:space="preserve">Recipe Food Cost ($)</x:t>
        </x:is>
      </x:c>
      <x:c r="C2" s="14" t="inlineStr">
        <x:is>
          <x:t xml:space="preserve">Packaging ($)</x:t>
        </x:is>
      </x:c>
      <x:c r="D2" s="14" t="inlineStr">
        <x:is>
          <x:t xml:space="preserve">Total Cost ($)</x:t>
        </x:is>
      </x:c>
      <x:c r="E2" s="14" t="inlineStr">
        <x:is>
          <x:t xml:space="preserve">Selling Price ($)</x:t>
        </x:is>
      </x:c>
      <x:c r="F2" s="14" t="inlineStr">
        <x:is>
          <x:t xml:space="preserve">Food Cost %</x:t>
        </x:is>
      </x:c>
      <x:c r="G2" s="14" t="inlineStr">
        <x:is>
          <x:t xml:space="preserve">Gross Profit ($)</x:t>
        </x:is>
      </x:c>
      <x:c r="H2" s="14" t="inlineStr">
        <x:is>
          <x:t xml:space="preserve">Suggested Price @ 30% ($)</x:t>
        </x:is>
      </x:c>
      <x:c r="J2" s="41" t="inlineStr">
        <x:is>
          <x:t xml:space="preserve">CURRENT KNOWN CHILAQUILES COST</x:t>
        </x:is>
      </x:c>
      <x:c r="K2" s="41" t="inlineStr">
        <x:is>
          <x:t xml:space="preserve">Per Order ($)</x:t>
        </x:is>
      </x:c>
      <x:c r="M2" s="48" t="inlineStr">
        <x:is>
          <x:t xml:space="preserve">BURRITO DE CHILAQUILES COST</x:t>
        </x:is>
      </x:c>
      <x:c r="N2" s="48" t="inlineStr">
        <x:is>
          <x:t xml:space="preserve">Per Order ($)</x:t>
        </x:is>
      </x:c>
      <x:c r="P2" s="55" t="inlineStr">
        <x:is>
          <x:t xml:space="preserve">PROTEIN ADD-ON</x:t>
        </x:is>
      </x:c>
      <x:c r="Q2" s="55" t="inlineStr">
        <x:is>
          <x:t xml:space="preserve">Portion (oz)</x:t>
        </x:is>
      </x:c>
      <x:c r="R2" s="55" t="inlineStr">
        <x:is>
          <x:t xml:space="preserve">Cost/lb ($)</x:t>
        </x:is>
      </x:c>
      <x:c r="S2" s="55" t="inlineStr">
        <x:is>
          <x:t xml:space="preserve">Portion Cost ($)</x:t>
        </x:is>
      </x:c>
      <x:c r="T2" s="55" t="inlineStr">
        <x:is>
          <x:t xml:space="preserve">Add-On Price ($)</x:t>
        </x:is>
      </x:c>
      <x:c r="U2" s="55" t="inlineStr">
        <x:is>
          <x:t xml:space="preserve">Gross Contribution ($)</x:t>
        </x:is>
      </x:c>
      <x:c r="V2" s="55" t="inlineStr">
        <x:is>
          <x:t xml:space="preserve">Add-On Cost %</x:t>
        </x:is>
      </x:c>
    </x:row>
    <x:row r="3">
      <x:c r="A3" s="24" t="inlineStr">
        <x:is>
          <x:t xml:space="preserve">Build Your Own Chilaquiles</x:t>
        </x:is>
      </x:c>
      <x:c r="B3" s="73" t="n">
        <x:f>SUMIF('Recipe Costing'!$A$3:$A$200,A3,'Recipe Costing'!$F$3:$F$200)</x:f>
        <x:v>5.03610119047619</x:v>
      </x:c>
      <x:c r="C3" s="73" t="n">
        <x:f>SUMIF('Recipe Costing'!$A$3:$A$200,A3,'Recipe Costing'!$G$3:$G$200)</x:f>
        <x:v>0</x:v>
      </x:c>
      <x:c r="D3" s="73" t="n">
        <x:f>SUM(B3:C3)</x:f>
        <x:v>5.03610119047619</x:v>
      </x:c>
      <x:c r="E3" s="74" t="n">
        <x:v>12</x:v>
      </x:c>
      <x:c r="F3" s="75" t="n">
        <x:f>IFERROR(D3/E3,0)</x:f>
        <x:v>0.41967509920634916</x:v>
      </x:c>
      <x:c r="G3" s="73" t="n">
        <x:f>E3-D3</x:f>
        <x:v>6.96389880952381</x:v>
      </x:c>
      <x:c r="H3" s="73" t="n">
        <x:f>IFERROR(D3/30%,0)</x:f>
        <x:v>16.787003968253966</x:v>
      </x:c>
      <x:c r="J3" t="inlineStr">
        <x:is>
          <x:t xml:space="preserve">Tortillas / Chips</x:t>
        </x:is>
      </x:c>
      <x:c r="K3" s="73" t="n">
        <x:f>'Ingredient Prices'!G3</x:f>
        <x:v>0.7233333333333333</x:v>
      </x:c>
      <x:c r="M3" t="inlineStr">
        <x:is>
          <x:t xml:space="preserve">Tortillas / Chips</x:t>
        </x:is>
      </x:c>
      <x:c r="N3" s="76" t="n">
        <x:f>'Ingredient Prices'!G3</x:f>
        <x:v>0.7233333333333333</x:v>
      </x:c>
      <x:c r="P3" t="inlineStr">
        <x:is>
          <x:t xml:space="preserve">Carne Asada</x:t>
        </x:is>
      </x:c>
      <x:c r="Q3" t="n">
        <x:v>4</x:v>
      </x:c>
      <x:c r="R3" s="72" t="n">
        <x:v>8</x:v>
      </x:c>
      <x:c r="S3" s="72" t="n">
        <x:f>'Ingredient Prices'!G26*Q3</x:f>
        <x:v>2</x:v>
      </x:c>
      <x:c r="T3" s="72" t="n">
        <x:v>3</x:v>
      </x:c>
      <x:c r="U3" s="72" t="n">
        <x:f>T3-S3</x:f>
        <x:v>1</x:v>
      </x:c>
      <x:c r="V3" s="77" t="n">
        <x:f>IFERROR(S3/T3,0)</x:f>
        <x:v>0.6666666666666666</x:v>
      </x:c>
    </x:row>
    <x:row r="4">
      <x:c r="A4" s="24" t="inlineStr">
        <x:is>
          <x:t xml:space="preserve">Burrito de Chilaquiles</x:t>
        </x:is>
      </x:c>
      <x:c r="B4" s="73" t="n">
        <x:f>SUMIF('Recipe Costing'!$A$3:$A$200,A4,'Recipe Costing'!$F$3:$F$200)</x:f>
        <x:v>5.410267857142856</x:v>
      </x:c>
      <x:c r="C4" s="73" t="n">
        <x:f>SUMIF('Recipe Costing'!$A$3:$A$200,A4,'Recipe Costing'!$G$3:$G$200)</x:f>
        <x:v>0</x:v>
      </x:c>
      <x:c r="D4" s="73" t="n">
        <x:f>SUM(B4:C4)</x:f>
        <x:v>5.410267857142856</x:v>
      </x:c>
      <x:c r="E4" s="74" t="n">
        <x:v>12</x:v>
      </x:c>
      <x:c r="F4" s="75" t="n">
        <x:f>IFERROR(D4/E4,0)</x:f>
        <x:v>0.4508556547619047</x:v>
      </x:c>
      <x:c r="G4" s="73" t="n">
        <x:f>E4-D4</x:f>
        <x:v>6.589732142857144</x:v>
      </x:c>
      <x:c r="H4" s="73" t="n">
        <x:f>IFERROR(D4/30%,0)</x:f>
        <x:v>18.03422619047619</x:v>
      </x:c>
      <x:c r="J4" t="inlineStr">
        <x:is>
          <x:t xml:space="preserve">Monterey Jack - 6 oz</x:t>
        </x:is>
      </x:c>
      <x:c r="K4" s="73" t="n">
        <x:f>'Ingredient Prices'!G8*6</x:f>
        <x:v>0.9375</x:v>
      </x:c>
      <x:c r="M4" t="inlineStr">
        <x:is>
          <x:t xml:space="preserve">Monterey Jack - 6 oz</x:t>
        </x:is>
      </x:c>
      <x:c r="N4" s="76" t="n">
        <x:f>'Ingredient Prices'!G8*6</x:f>
        <x:v>0.9375</x:v>
      </x:c>
      <x:c r="P4" t="inlineStr">
        <x:is>
          <x:t xml:space="preserve">Al Pastor</x:t>
        </x:is>
      </x:c>
      <x:c r="Q4" t="n">
        <x:v>4</x:v>
      </x:c>
      <x:c r="R4" s="72" t="n">
        <x:v>8</x:v>
      </x:c>
      <x:c r="S4" s="72" t="n">
        <x:f>'Ingredient Prices'!G27*Q4</x:f>
        <x:v>2</x:v>
      </x:c>
      <x:c r="T4" s="72" t="n">
        <x:v>3</x:v>
      </x:c>
      <x:c r="U4" s="72" t="n">
        <x:f>T4-S4</x:f>
        <x:v>1</x:v>
      </x:c>
      <x:c r="V4" s="77" t="n">
        <x:f>IFERROR(S4/T4,0)</x:f>
        <x:v>0.6666666666666666</x:v>
      </x:c>
    </x:row>
    <x:row r="5">
      <x:c r="A5" s="24" t="inlineStr">
        <x:is>
          <x:t xml:space="preserve">Torta de Chilaquiles</x:t>
        </x:is>
      </x:c>
      <x:c r="B5" s="73" t="n">
        <x:f>SUMIF('Recipe Costing'!$A$3:$A$200,A5,'Recipe Costing'!$F$3:$F$200)</x:f>
        <x:v>0</x:v>
      </x:c>
      <x:c r="C5" s="73" t="n">
        <x:f>SUMIF('Recipe Costing'!$A$3:$A$200,A5,'Recipe Costing'!$G$3:$G$200)</x:f>
        <x:v>0</x:v>
      </x:c>
      <x:c r="D5" s="73" t="n">
        <x:f>SUM(B5:C5)</x:f>
        <x:v>0</x:v>
      </x:c>
      <x:c r="E5" s="73" t="n">
        <x:f>IFERROR(MAXIFS('Recipe Costing'!$I$3:$I$200,'Recipe Costing'!$A$3:$A$200,A5),0)</x:f>
        <x:v>0</x:v>
      </x:c>
      <x:c r="F5" s="75" t="n">
        <x:f>IFERROR(D5/E5,0)</x:f>
        <x:v>0</x:v>
      </x:c>
      <x:c r="G5" s="73" t="n">
        <x:f>E5-D5</x:f>
        <x:v>0</x:v>
      </x:c>
      <x:c r="H5" s="73" t="n">
        <x:f>IFERROR(D5/30%,0)</x:f>
        <x:v>0</x:v>
      </x:c>
      <x:c r="J5" t="inlineStr">
        <x:is>
          <x:t xml:space="preserve">Sour Cream - 3 oz</x:t>
        </x:is>
      </x:c>
      <x:c r="K5" s="73" t="n">
        <x:f>'Ingredient Prices'!G10*3</x:f>
        <x:v>0.5531250000000001</x:v>
      </x:c>
      <x:c r="M5" t="inlineStr">
        <x:is>
          <x:t xml:space="preserve">Sour Cream - 3 oz</x:t>
        </x:is>
      </x:c>
      <x:c r="N5" s="76" t="n">
        <x:f>'Ingredient Prices'!G10*3</x:f>
        <x:v>0.5531250000000001</x:v>
      </x:c>
      <x:c r="P5" t="inlineStr">
        <x:is>
          <x:t xml:space="preserve">Chorizo</x:t>
        </x:is>
      </x:c>
      <x:c r="Q5" t="n">
        <x:v>4</x:v>
      </x:c>
      <x:c r="R5" s="72" t="n">
        <x:v>6</x:v>
      </x:c>
      <x:c r="S5" s="72" t="n">
        <x:f>'Ingredient Prices'!G28*Q5</x:f>
        <x:v>1.5</x:v>
      </x:c>
      <x:c r="T5" s="72" t="n">
        <x:v>2</x:v>
      </x:c>
      <x:c r="U5" s="72" t="n">
        <x:f>T5-S5</x:f>
        <x:v>0.5</x:v>
      </x:c>
      <x:c r="V5" s="77" t="n">
        <x:f>IFERROR(S5/T5,0)</x:f>
        <x:v>0.75</x:v>
      </x:c>
    </x:row>
    <x:row r="6">
      <x:c r="A6" s="24" t="inlineStr">
        <x:is>
          <x:t xml:space="preserve">Keto Chilaquiles</x:t>
        </x:is>
      </x:c>
      <x:c r="B6" s="73" t="n">
        <x:f>SUMIF('Recipe Costing'!$A$3:$A$200,A6,'Recipe Costing'!$F$3:$F$200)</x:f>
        <x:v>0</x:v>
      </x:c>
      <x:c r="C6" s="73" t="n">
        <x:f>SUMIF('Recipe Costing'!$A$3:$A$200,A6,'Recipe Costing'!$G$3:$G$200)</x:f>
        <x:v>0</x:v>
      </x:c>
      <x:c r="D6" s="73" t="n">
        <x:f>SUM(B6:C6)</x:f>
        <x:v>0</x:v>
      </x:c>
      <x:c r="E6" s="73" t="n">
        <x:f>IFERROR(MAXIFS('Recipe Costing'!$I$3:$I$200,'Recipe Costing'!$A$3:$A$200,A6),0)</x:f>
        <x:v>0</x:v>
      </x:c>
      <x:c r="F6" s="75" t="n">
        <x:f>IFERROR(D6/E6,0)</x:f>
        <x:v>0</x:v>
      </x:c>
      <x:c r="G6" s="73" t="n">
        <x:f>E6-D6</x:f>
        <x:v>0</x:v>
      </x:c>
      <x:c r="H6" s="73" t="n">
        <x:f>IFERROR(D6/30%,0)</x:f>
        <x:v>0</x:v>
      </x:c>
      <x:c r="J6" t="inlineStr">
        <x:is>
          <x:t xml:space="preserve">Frying Oil</x:t>
        </x:is>
      </x:c>
      <x:c r="K6" s="73" t="n">
        <x:f>'Ingredient Prices'!G20</x:f>
        <x:v>0.09</x:v>
      </x:c>
      <x:c r="M6" t="inlineStr">
        <x:is>
          <x:t xml:space="preserve">Frying Oil</x:t>
        </x:is>
      </x:c>
      <x:c r="N6" s="76" t="n">
        <x:f>'Ingredient Prices'!G20</x:f>
        <x:v>0.09</x:v>
      </x:c>
    </x:row>
    <x:row r="7">
      <x:c r="A7" s="24" t="str">
        <x:v>OG Breakfast Burrito</x:v>
      </x:c>
      <x:c r="B7" s="73" t="n">
        <x:f>SUMIF('Recipe Costing'!$A$3:$A$200,A7,'Recipe Costing'!$F$3:$F$200)</x:f>
        <x:v>3.63478125</x:v>
      </x:c>
      <x:c r="C7" s="73" t="n">
        <x:f>SUMIF('Recipe Costing'!$A$3:$A$200,A7,'Recipe Costing'!$G$3:$G$200)</x:f>
        <x:v>0</x:v>
      </x:c>
      <x:c r="D7" s="73" t="n">
        <x:f>SUM(B7:C7)</x:f>
        <x:v>3.63478125</x:v>
      </x:c>
      <x:c r="E7" s="73" t="n">
        <x:v>11</x:v>
      </x:c>
      <x:c r="F7" s="75" t="n">
        <x:f>IFERROR(D7/E7,0)</x:f>
        <x:v>0.3304346590909091</x:v>
      </x:c>
      <x:c r="G7" s="73" t="n">
        <x:f>E7-D7</x:f>
        <x:v>7.36521875</x:v>
      </x:c>
      <x:c r="H7" s="73" t="n">
        <x:f>IFERROR(D7/30%,0)</x:f>
        <x:v>12.115937500000001</x:v>
      </x:c>
      <x:c r="J7" t="inlineStr">
        <x:is>
          <x:t xml:space="preserve">#8 To-Go Box</x:t>
        </x:is>
      </x:c>
      <x:c r="K7" s="73" t="n">
        <x:f>'Ingredient Prices'!G23</x:f>
        <x:v>0.14666666666666667</x:v>
      </x:c>
      <x:c r="M7" t="inlineStr">
        <x:is>
          <x:t xml:space="preserve">Salsa - 8 oz incl. labor</x:t>
        </x:is>
      </x:c>
      <x:c r="N7" s="76" t="n">
        <x:f>'Ingredient Prices'!G11*8</x:f>
        <x:v>0.7321428571428571</x:v>
      </x:c>
    </x:row>
    <x:row r="8">
      <x:c r="A8" s="24" t="inlineStr">
        <x:is>
          <x:t xml:space="preserve">Chorizo &amp; Egg Burrito</x:t>
        </x:is>
      </x:c>
      <x:c r="B8" s="73" t="n">
        <x:f>SUMIF('Recipe Costing'!$A$3:$A$200,A8,'Recipe Costing'!$F$3:$F$200)</x:f>
        <x:v>0</x:v>
      </x:c>
      <x:c r="C8" s="73" t="n">
        <x:f>SUMIF('Recipe Costing'!$A$3:$A$200,A8,'Recipe Costing'!$G$3:$G$200)</x:f>
        <x:v>0</x:v>
      </x:c>
      <x:c r="D8" s="73" t="n">
        <x:f>SUM(B8:C8)</x:f>
        <x:v>0</x:v>
      </x:c>
      <x:c r="E8" s="73" t="n">
        <x:f>IFERROR(MAXIFS('Recipe Costing'!$I$3:$I$200,'Recipe Costing'!$A$3:$A$200,A8),0)</x:f>
        <x:v>0</x:v>
      </x:c>
      <x:c r="F8" s="75" t="n">
        <x:f>IFERROR(D8/E8,0)</x:f>
        <x:v>0</x:v>
      </x:c>
      <x:c r="G8" s="73" t="n">
        <x:f>E8-D8</x:f>
        <x:v>0</x:v>
      </x:c>
      <x:c r="H8" s="73" t="n">
        <x:f>IFERROR(D8/30%,0)</x:f>
        <x:v>0</x:v>
      </x:c>
      <x:c r="J8" t="inlineStr">
        <x:is>
          <x:t xml:space="preserve">Salsa - 8 oz incl. labor</x:t>
        </x:is>
      </x:c>
      <x:c r="K8" s="73" t="n">
        <x:f>'Ingredient Prices'!G11*8</x:f>
        <x:v>0.7321428571428571</x:v>
      </x:c>
      <x:c r="M8" t="inlineStr">
        <x:is>
          <x:t xml:space="preserve">Protein - 4 oz</x:t>
        </x:is>
      </x:c>
      <x:c r="N8" s="76" t="n">
        <x:f>'Ingredient Prices'!G4*4</x:f>
        <x:v>2</x:v>
      </x:c>
      <x:c r="P8" s="55" t="inlineStr">
        <x:is>
          <x:t xml:space="preserve">ITEM + PROTEIN</x:t>
        </x:is>
      </x:c>
      <x:c r="Q8" s="55" t="inlineStr">
        <x:is>
          <x:t xml:space="preserve">Base Price ($)</x:t>
        </x:is>
      </x:c>
      <x:c r="R8" s="55" t="inlineStr">
        <x:is>
          <x:t xml:space="preserve">Protein Add-On ($)</x:t>
        </x:is>
      </x:c>
      <x:c r="S8" s="55" t="inlineStr">
        <x:is>
          <x:t xml:space="preserve">Total Selling Price ($)</x:t>
        </x:is>
      </x:c>
      <x:c r="T8" s="55" t="inlineStr">
        <x:is>
          <x:t xml:space="preserve">Known Base Cost ($)</x:t>
        </x:is>
      </x:c>
      <x:c r="U8" s="55" t="inlineStr">
        <x:is>
          <x:t xml:space="preserve">Protein Cost ($)</x:t>
        </x:is>
      </x:c>
      <x:c r="V8" s="55" t="inlineStr">
        <x:is>
          <x:t xml:space="preserve">Known Total Cost ($)</x:t>
        </x:is>
      </x:c>
    </x:row>
    <x:row r="9">
      <x:c r="A9" s="24" t="inlineStr">
        <x:is>
          <x:t xml:space="preserve">Breakfast Bowl</x:t>
        </x:is>
      </x:c>
      <x:c r="B9" s="73" t="n">
        <x:f>SUMIF('Recipe Costing'!$A$3:$A$200,A9,'Recipe Costing'!$F$3:$F$200)</x:f>
        <x:v>0</x:v>
      </x:c>
      <x:c r="C9" s="73" t="n">
        <x:f>SUMIF('Recipe Costing'!$A$3:$A$200,A9,'Recipe Costing'!$G$3:$G$200)</x:f>
        <x:v>0</x:v>
      </x:c>
      <x:c r="D9" s="73" t="n">
        <x:f>SUM(B9:C9)</x:f>
        <x:v>0</x:v>
      </x:c>
      <x:c r="E9" s="73" t="n">
        <x:f>IFERROR(MAXIFS('Recipe Costing'!$I$3:$I$200,'Recipe Costing'!$A$3:$A$200,A9),0)</x:f>
        <x:v>0</x:v>
      </x:c>
      <x:c r="F9" s="75" t="n">
        <x:f>IFERROR(D9/E9,0)</x:f>
        <x:v>0</x:v>
      </x:c>
      <x:c r="G9" s="73" t="n">
        <x:f>E9-D9</x:f>
        <x:v>0</x:v>
      </x:c>
      <x:c r="H9" s="73" t="n">
        <x:f>IFERROR(D9/30%,0)</x:f>
        <x:v>0</x:v>
      </x:c>
      <x:c r="J9" t="inlineStr">
        <x:is>
          <x:t xml:space="preserve">Protein - 4 oz</x:t>
        </x:is>
      </x:c>
      <x:c r="K9" s="73" t="n">
        <x:f>'Ingredient Prices'!G4*4</x:f>
        <x:v>2</x:v>
      </x:c>
      <x:c r="M9" t="inlineStr">
        <x:is>
          <x:t xml:space="preserve">14" Flour Tortilla</x:t>
        </x:is>
      </x:c>
      <x:c r="N9" s="76" t="n">
        <x:f>'Ingredient Prices'!G24</x:f>
        <x:v>0.3541666666666667</x:v>
      </x:c>
      <x:c r="P9" t="inlineStr">
        <x:is>
          <x:t xml:space="preserve">Chilaquiles + Asada</x:t>
        </x:is>
      </x:c>
      <x:c r="Q9" s="72" t="n">
        <x:v>12</x:v>
      </x:c>
      <x:c r="R9" s="72" t="n">
        <x:v>3</x:v>
      </x:c>
      <x:c r="S9" s="72" t="n">
        <x:f>Q9+R9</x:f>
        <x:v>15</x:v>
      </x:c>
      <x:c r="T9" s="72" t="n">
        <x:f>$K$11</x:f>
        <x:v>3.857767857142857</x:v>
      </x:c>
      <x:c r="U9" s="72" t="n">
        <x:f>$S$3</x:f>
        <x:v>2</x:v>
      </x:c>
      <x:c r="V9" s="72" t="n">
        <x:f>T9+U9</x:f>
        <x:v>5.857767857142857</x:v>
      </x:c>
    </x:row>
    <x:row r="10">
      <x:c r="J10" s="43" t="str">
        <x:v>Base Chilaquiles Cost (No Protein)</x:v>
      </x:c>
      <x:c r="K10" s="78" t="n">
        <x:f>SUM(K3:K8)</x:f>
        <x:v>3.182767857142857</x:v>
      </x:c>
      <x:c r="M10" t="inlineStr">
        <x:is>
          <x:t xml:space="preserve">Wrapping Paper</x:t>
        </x:is>
      </x:c>
      <x:c r="N10" s="76" t="n">
        <x:f>'Ingredient Prices'!G25</x:f>
        <x:v>0.02</x:v>
      </x:c>
      <x:c r="P10" t="inlineStr">
        <x:is>
          <x:t xml:space="preserve">Chilaquiles + Al Pastor</x:t>
        </x:is>
      </x:c>
      <x:c r="Q10" s="72" t="n">
        <x:v>12</x:v>
      </x:c>
      <x:c r="R10" s="72" t="n">
        <x:v>3</x:v>
      </x:c>
      <x:c r="S10" s="72" t="n">
        <x:f>Q10+R10</x:f>
        <x:v>15</x:v>
      </x:c>
      <x:c r="T10" s="72" t="n">
        <x:f>$K$11</x:f>
        <x:v>3.857767857142857</x:v>
      </x:c>
      <x:c r="U10" s="72" t="n">
        <x:f>$S$4</x:f>
        <x:v>2</x:v>
      </x:c>
      <x:c r="V10" s="72" t="n">
        <x:f>T10+U10</x:f>
        <x:v>5.857767857142857</x:v>
      </x:c>
    </x:row>
    <x:row r="11">
      <x:c r="J11" s="42" t="str">
        <x:v>Base + Onion/Cilantro (No Protein)</x:v>
      </x:c>
      <x:c r="K11" s="79" t="n">
        <x:f>K10+$K$23</x:f>
        <x:v>3.857767857142857</x:v>
      </x:c>
      <x:c r="M11" t="str">
        <x:v>Base Burrito Cost (No Protein)</x:v>
      </x:c>
      <x:c r="N11" s="76" t="n">
        <x:f>SUM(N3:N10)-N8</x:f>
        <x:v>3.4102678571428564</x:v>
      </x:c>
      <x:c r="P11" t="inlineStr">
        <x:is>
          <x:t xml:space="preserve">Chilaquiles + Chorizo</x:t>
        </x:is>
      </x:c>
      <x:c r="Q11" s="72" t="n">
        <x:v>12</x:v>
      </x:c>
      <x:c r="R11" s="72" t="n">
        <x:v>2</x:v>
      </x:c>
      <x:c r="S11" s="72" t="n">
        <x:f>Q11+R11</x:f>
        <x:v>14</x:v>
      </x:c>
      <x:c r="T11" s="72" t="n">
        <x:f>$K$11</x:f>
        <x:v>3.857767857142857</x:v>
      </x:c>
      <x:c r="U11" s="72" t="n">
        <x:f>$S$5</x:f>
        <x:v>1.5</x:v>
      </x:c>
      <x:c r="V11" s="72" t="n">
        <x:f>T11+U11</x:f>
        <x:v>5.357767857142857</x:v>
      </x:c>
    </x:row>
    <x:row r="12">
      <x:c r="A12" t="inlineStr">
        <x:is>
          <x:t xml:space="preserve">TARGET FOOD COST</x:t>
        </x:is>
      </x:c>
      <x:c r="C12" s="75" t="n">
        <x:v>0.3</x:v>
      </x:c>
      <x:c r="D12" t="inlineStr">
        <x:is>
          <x:t xml:space="preserve">Adjust this target if needed</x:t>
        </x:is>
      </x:c>
      <x:c r="M12" t="str">
        <x:v>Base Burrito + Overhead (No Protein)</x:v>
      </x:c>
      <x:c r="N12" s="76" t="n">
        <x:f>N11+$K$18</x:f>
        <x:v>3.4102678571428564</x:v>
      </x:c>
      <x:c r="P12" t="inlineStr">
        <x:is>
          <x:t xml:space="preserve">Burrito + Asada</x:t>
        </x:is>
      </x:c>
      <x:c r="Q12" s="72" t="n">
        <x:v>12</x:v>
      </x:c>
      <x:c r="R12" s="72" t="n">
        <x:v>3</x:v>
      </x:c>
      <x:c r="S12" s="72" t="n">
        <x:f>Q12+R12</x:f>
        <x:v>15</x:v>
      </x:c>
      <x:c r="T12" s="72" t="n">
        <x:f>$N$11+$K$23</x:f>
        <x:v>4.085267857142856</x:v>
      </x:c>
      <x:c r="U12" s="72" t="n">
        <x:f>$S$3</x:f>
        <x:v>2</x:v>
      </x:c>
      <x:c r="V12" s="72" t="n">
        <x:f>T12+U12</x:f>
        <x:v>6.085267857142856</x:v>
      </x:c>
    </x:row>
    <x:row r="13">
      <x:c r="J13" s="48" t="inlineStr">
        <x:is>
          <x:t xml:space="preserve">MONTHLY OVERHEAD</x:t>
        </x:is>
      </x:c>
      <x:c r="K13" s="48" t="inlineStr">
        <x:is>
          <x:t xml:space="preserve">Amount</x:t>
        </x:is>
      </x:c>
    </x:row>
    <x:row r="14">
      <x:c r="J14" t="inlineStr">
        <x:is>
          <x:t xml:space="preserve">Rent</x:t>
        </x:is>
      </x:c>
      <x:c r="K14" s="80" t="n">
        <x:v>1800</x:v>
      </x:c>
    </x:row>
    <x:row r="15">
      <x:c r="J15" t="inlineStr">
        <x:is>
          <x:t xml:space="preserve">Electricity + Gas</x:t>
        </x:is>
      </x:c>
      <x:c r="K15" s="80" t="n">
        <x:v>1200</x:v>
      </x:c>
      <x:c r="P15" s="68" t="inlineStr">
        <x:is>
          <x:t xml:space="preserve">FULLY LOADED COST ANALYSIS</x:t>
        </x:is>
      </x:c>
      <x:c r="Q15" s="68" t="inlineStr">
        <x:is>
          <x:t xml:space="preserve">Selling Price ($)</x:t>
        </x:is>
      </x:c>
      <x:c r="R15" s="68" t="inlineStr">
        <x:is>
          <x:t xml:space="preserve">Known Ingredient Cost ($)</x:t>
        </x:is>
      </x:c>
      <x:c r="S15" s="68" t="inlineStr">
        <x:is>
          <x:t xml:space="preserve">Labor / Order ($)</x:t>
        </x:is>
      </x:c>
      <x:c r="T15" s="68" t="inlineStr">
        <x:is>
          <x:t xml:space="preserve">Rent+Utilities / Order ($)</x:t>
        </x:is>
      </x:c>
      <x:c r="U15" s="68" t="inlineStr">
        <x:is>
          <x:t xml:space="preserve">Estimated True Cost ($)</x:t>
        </x:is>
      </x:c>
      <x:c r="V15" s="68" t="inlineStr">
        <x:is>
          <x:t xml:space="preserve">Est. Profit / Order ($)</x:t>
        </x:is>
      </x:c>
      <x:c r="W15" s="68" t="inlineStr">
        <x:is>
          <x:t xml:space="preserve">Est. Margin</x:t>
        </x:is>
      </x:c>
    </x:row>
    <x:row r="16">
      <x:c r="J16" t="inlineStr">
        <x:is>
          <x:t xml:space="preserve">Total Rent + Utilities</x:t>
        </x:is>
      </x:c>
      <x:c r="K16" s="81" t="n">
        <x:f>SUM(K14:K15)</x:f>
        <x:v>3000</x:v>
      </x:c>
      <x:c r="P16" t="inlineStr">
        <x:is>
          <x:t xml:space="preserve">Base Chilaquiles</x:t>
        </x:is>
      </x:c>
      <x:c r="Q16" s="76" t="n">
        <x:v>12</x:v>
      </x:c>
      <x:c r="R16" s="76" t="n">
        <x:f>$K$11</x:f>
        <x:v>3.857767857142857</x:v>
      </x:c>
      <x:c r="S16" s="76" t="n">
        <x:f>$K$32</x:f>
        <x:v>0</x:v>
      </x:c>
      <x:c r="T16" s="76" t="n">
        <x:f>$K$33</x:f>
        <x:v>0</x:v>
      </x:c>
      <x:c r="U16" s="76" t="n">
        <x:f>SUM(R16:T16)</x:f>
        <x:v>3.857767857142857</x:v>
      </x:c>
      <x:c r="V16" s="76" t="n">
        <x:f>Q16-U16</x:f>
        <x:v>8.142232142857143</x:v>
      </x:c>
      <x:c r="W16" s="77" t="n">
        <x:f>IFERROR(V16/Q16,0)</x:f>
        <x:v>0.6785193452380952</x:v>
      </x:c>
    </x:row>
    <x:row r="17">
      <x:c r="J17" t="inlineStr">
        <x:is>
          <x:t xml:space="preserve">Monthly Orders (enter actual)</x:t>
        </x:is>
      </x:c>
      <x:c r="K17" s="24" t="n"/>
      <x:c r="P17" t="inlineStr">
        <x:is>
          <x:t xml:space="preserve">Chilaquiles + Asada</x:t>
        </x:is>
      </x:c>
      <x:c r="Q17" s="76" t="n">
        <x:v>15</x:v>
      </x:c>
      <x:c r="R17" s="76" t="n">
        <x:f>$V$9</x:f>
        <x:v>5.857767857142857</x:v>
      </x:c>
      <x:c r="S17" s="76" t="n">
        <x:f>$K$32</x:f>
        <x:v>0</x:v>
      </x:c>
      <x:c r="T17" s="76" t="n">
        <x:f>$K$33</x:f>
        <x:v>0</x:v>
      </x:c>
      <x:c r="U17" s="76" t="n">
        <x:f>SUM(R17:T17)</x:f>
        <x:v>5.857767857142857</x:v>
      </x:c>
      <x:c r="V17" s="76" t="n">
        <x:f>Q17-U17</x:f>
        <x:v>9.142232142857143</x:v>
      </x:c>
      <x:c r="W17" s="77" t="n">
        <x:f>IFERROR(V17/Q17,0)</x:f>
        <x:v>0.6094821428571429</x:v>
      </x:c>
    </x:row>
    <x:row r="18">
      <x:c r="J18" t="inlineStr">
        <x:is>
          <x:t xml:space="preserve">Overhead per Order</x:t>
        </x:is>
      </x:c>
      <x:c r="K18" s="81" t="n">
        <x:f>IFERROR(K16/K17,0)</x:f>
        <x:v>0</x:v>
      </x:c>
      <x:c r="P18" t="inlineStr">
        <x:is>
          <x:t xml:space="preserve">Chilaquiles + Al Pastor</x:t>
        </x:is>
      </x:c>
      <x:c r="Q18" s="76" t="n">
        <x:v>15</x:v>
      </x:c>
      <x:c r="R18" s="76" t="n">
        <x:f>$V$10</x:f>
        <x:v>5.857767857142857</x:v>
      </x:c>
      <x:c r="S18" s="76" t="n">
        <x:f>$K$32</x:f>
        <x:v>0</x:v>
      </x:c>
      <x:c r="T18" s="76" t="n">
        <x:f>$K$33</x:f>
        <x:v>0</x:v>
      </x:c>
      <x:c r="U18" s="76" t="n">
        <x:f>SUM(R18:T18)</x:f>
        <x:v>5.857767857142857</x:v>
      </x:c>
      <x:c r="V18" s="76" t="n">
        <x:f>Q18-U18</x:f>
        <x:v>9.142232142857143</x:v>
      </x:c>
      <x:c r="W18" s="77" t="n">
        <x:f>IFERROR(V18/Q18,0)</x:f>
        <x:v>0.6094821428571429</x:v>
      </x:c>
    </x:row>
    <x:row r="19">
      <x:c r="P19" t="inlineStr">
        <x:is>
          <x:t xml:space="preserve">Chilaquiles + Chorizo</x:t>
        </x:is>
      </x:c>
      <x:c r="Q19" s="76" t="n">
        <x:v>14</x:v>
      </x:c>
      <x:c r="R19" s="76" t="n">
        <x:f>$V$11</x:f>
        <x:v>5.357767857142857</x:v>
      </x:c>
      <x:c r="S19" s="76" t="n">
        <x:f>$K$32</x:f>
        <x:v>0</x:v>
      </x:c>
      <x:c r="T19" s="76" t="n">
        <x:f>$K$33</x:f>
        <x:v>0</x:v>
      </x:c>
      <x:c r="U19" s="76" t="n">
        <x:f>SUM(R19:T19)</x:f>
        <x:v>5.357767857142857</x:v>
      </x:c>
      <x:c r="V19" s="76" t="n">
        <x:f>Q19-U19</x:f>
        <x:v>8.642232142857143</x:v>
      </x:c>
      <x:c r="W19" s="77" t="n">
        <x:f>IFERROR(V19/Q19,0)</x:f>
        <x:v>0.6173022959183674</x:v>
      </x:c>
    </x:row>
    <x:row r="20">
      <x:c r="J20" s="61" t="inlineStr">
        <x:is>
          <x:t xml:space="preserve">TOPPING COST</x:t>
        </x:is>
      </x:c>
      <x:c r="K20" s="61" t="inlineStr">
        <x:is>
          <x:t xml:space="preserve">Per Order ($)</x:t>
        </x:is>
      </x:c>
      <x:c r="P20" t="inlineStr">
        <x:is>
          <x:t xml:space="preserve">Base Burrito</x:t>
        </x:is>
      </x:c>
      <x:c r="Q20" s="76" t="n">
        <x:v>12</x:v>
      </x:c>
      <x:c r="R20" s="76" t="n">
        <x:f>$N$11+$K$23</x:f>
        <x:v>4.085267857142856</x:v>
      </x:c>
      <x:c r="S20" s="76" t="n">
        <x:f>$K$32</x:f>
        <x:v>0</x:v>
      </x:c>
      <x:c r="T20" s="76" t="n">
        <x:f>$K$33</x:f>
        <x:v>0</x:v>
      </x:c>
      <x:c r="U20" s="76" t="n">
        <x:f>SUM(R20:T20)</x:f>
        <x:v>4.085267857142856</x:v>
      </x:c>
      <x:c r="V20" s="76" t="n">
        <x:f>Q20-U20</x:f>
        <x:v>7.914732142857144</x:v>
      </x:c>
      <x:c r="W20" s="77" t="n">
        <x:f>IFERROR(V20/Q20,0)</x:f>
        <x:v>0.659561011904762</x:v>
      </x:c>
    </x:row>
    <x:row r="21">
      <x:c r="J21" t="inlineStr">
        <x:is>
          <x:t xml:space="preserve">Red Onion - 4 oz</x:t>
        </x:is>
      </x:c>
      <x:c r="K21" s="72" t="n">
        <x:f>'Ingredient Prices'!G16*4</x:f>
        <x:v>0.175</x:v>
      </x:c>
    </x:row>
    <x:row r="22">
      <x:c r="J22" t="inlineStr">
        <x:is>
          <x:t xml:space="preserve">Cilantro - 4 oz</x:t>
        </x:is>
      </x:c>
      <x:c r="K22" s="72" t="n">
        <x:f>'Ingredient Prices'!G17*4</x:f>
        <x:v>0.5</x:v>
      </x:c>
    </x:row>
    <x:row r="23">
      <x:c r="J23" t="inlineStr">
        <x:is>
          <x:t xml:space="preserve">Total Onion + Cilantro</x:t>
        </x:is>
      </x:c>
      <x:c r="K23" s="72" t="n">
        <x:f>SUM(K21:K22)</x:f>
        <x:v>0.675</x:v>
      </x:c>
      <x:c r="P23" s="82" t="inlineStr">
        <x:is>
          <x:t xml:space="preserve">OG BREAKFAST BURRITO COST</x:t>
        </x:is>
      </x:c>
      <x:c r="Q23" s="82" t="inlineStr">
        <x:is>
          <x:t xml:space="preserve">Portion</x:t>
        </x:is>
      </x:c>
      <x:c r="R23" s="82" t="inlineStr">
        <x:is>
          <x:t xml:space="preserve">Unit</x:t>
        </x:is>
      </x:c>
      <x:c r="S23" s="82" t="inlineStr">
        <x:is>
          <x:t xml:space="preserve">Cost / Unit ($)</x:t>
        </x:is>
      </x:c>
      <x:c r="T23" s="82" t="inlineStr">
        <x:is>
          <x:t xml:space="preserve">Cost / Burrito ($)</x:t>
        </x:is>
      </x:c>
    </x:row>
    <x:row r="24">
      <x:c r="J24" t="str">
        <x:v>PROTEIN COST — CHILAQUILES</x:v>
      </x:c>
      <x:c r="K24" t="str">
        <x:v>Per Order ($)</x:v>
      </x:c>
      <x:c r="M24" t="str">
        <x:v>PROTEIN COST — BURRITO</x:v>
      </x:c>
      <x:c r="N24" t="str">
        <x:v>Per Order ($)</x:v>
      </x:c>
      <x:c r="P24" t="inlineStr">
        <x:is>
          <x:t xml:space="preserve">12" Flour Tortilla</x:t>
        </x:is>
      </x:c>
      <x:c r="Q24" s="119" t="n">
        <x:v>1</x:v>
      </x:c>
      <x:c r="R24" t="inlineStr">
        <x:is>
          <x:t xml:space="preserve">each</x:t>
        </x:is>
      </x:c>
      <x:c r="S24" s="102" t="n">
        <x:f>'Ingredient Prices'!G29</x:f>
        <x:v>0.3125</x:v>
      </x:c>
      <x:c r="T24" s="102" t="n">
        <x:f>Q24*S24</x:f>
        <x:v>0.3125</x:v>
      </x:c>
    </x:row>
    <x:row r="25">
      <x:c r="J25" t="str">
        <x:v>Carne Asada - 4 oz</x:v>
      </x:c>
      <x:c r="K25" s="102" t="n">
        <x:f>$S$3</x:f>
        <x:v>2</x:v>
      </x:c>
      <x:c r="M25" t="str">
        <x:v>Carne Asada - 4 oz</x:v>
      </x:c>
      <x:c r="N25" s="102" t="n">
        <x:f>$S$3</x:f>
        <x:v>2</x:v>
      </x:c>
      <x:c r="P25" t="inlineStr">
        <x:is>
          <x:t xml:space="preserve">Eggs</x:t>
        </x:is>
      </x:c>
      <x:c r="Q25" s="119" t="n">
        <x:v>3</x:v>
      </x:c>
      <x:c r="R25" t="inlineStr">
        <x:is>
          <x:t xml:space="preserve">each</x:t>
        </x:is>
      </x:c>
      <x:c r="S25" s="102" t="n">
        <x:f>'Ingredient Prices'!G30</x:f>
        <x:v>0.140625</x:v>
      </x:c>
      <x:c r="T25" s="102" t="n">
        <x:f>Q25*S25</x:f>
        <x:v>0.421875</x:v>
      </x:c>
    </x:row>
    <x:row r="26">
      <x:c r="J26" s="65" t="str">
        <x:v>Al Pastor - 4 oz</x:v>
      </x:c>
      <x:c r="K26" s="118" t="n">
        <x:f>$S$4</x:f>
        <x:v>2</x:v>
      </x:c>
      <x:c r="L26" s="65" t="str"/>
      <x:c r="M26" s="65" t="str">
        <x:v>Al Pastor - 4 oz</x:v>
      </x:c>
      <x:c r="N26" s="118" t="n">
        <x:f>$S$4</x:f>
        <x:v>2</x:v>
      </x:c>
      <x:c r="P26" t="inlineStr">
        <x:is>
          <x:t xml:space="preserve">Bacon</x:t>
        </x:is>
      </x:c>
      <x:c r="Q26" s="119" t="n">
        <x:v>3</x:v>
      </x:c>
      <x:c r="R26" t="inlineStr">
        <x:is>
          <x:t xml:space="preserve">oz</x:t>
        </x:is>
      </x:c>
      <x:c r="S26" s="102" t="n">
        <x:f>'Ingredient Prices'!G31</x:f>
        <x:v>0.25734375</x:v>
      </x:c>
      <x:c r="T26" s="102" t="n">
        <x:f>Q26*S26</x:f>
        <x:v>0.77203125</x:v>
      </x:c>
    </x:row>
    <x:row r="27">
      <x:c r="J27" t="str">
        <x:v>Chorizo - 4 oz</x:v>
      </x:c>
      <x:c r="K27" s="111" t="n">
        <x:f>$S$5</x:f>
        <x:v>1.5</x:v>
      </x:c>
      <x:c r="L27" t="inlineStr">
        <x:is>
          <x:t xml:space="preserve">Enter a typical month's restaurant sales</x:t>
        </x:is>
      </x:c>
      <x:c r="M27" t="str">
        <x:v>Chorizo - 4 oz</x:v>
      </x:c>
      <x:c r="N27" s="102" t="n">
        <x:f>$S$5</x:f>
        <x:v>1.5</x:v>
      </x:c>
      <x:c r="P27" t="inlineStr">
        <x:is>
          <x:t xml:space="preserve">Monterey Jack</x:t>
        </x:is>
      </x:c>
      <x:c r="Q27" s="119" t="n">
        <x:v>6</x:v>
      </x:c>
      <x:c r="R27" t="inlineStr">
        <x:is>
          <x:t xml:space="preserve">oz</x:t>
        </x:is>
      </x:c>
      <x:c r="S27" s="102" t="n">
        <x:f>'Ingredient Prices'!G8</x:f>
        <x:v>0.15625</x:v>
      </x:c>
      <x:c r="T27" s="102" t="n">
        <x:f>Q27*S27</x:f>
        <x:v>0.9375</x:v>
      </x:c>
    </x:row>
    <x:row r="28">
      <x:c r="J28" t="inlineStr">
        <x:is>
          <x:t xml:space="preserve">Monthly Orders / Transactions</x:t>
        </x:is>
      </x:c>
      <x:c r="K28" s="80" t="n"/>
      <x:c r="L28" t="inlineStr">
        <x:is>
          <x:t xml:space="preserve">Enter total orders for the same month</x:t>
        </x:is>
      </x:c>
      <x:c r="P28" t="inlineStr">
        <x:is>
          <x:t xml:space="preserve">Tater Tots</x:t>
        </x:is>
      </x:c>
      <x:c r="Q28" s="119" t="n">
        <x:v>7.6</x:v>
      </x:c>
      <x:c r="R28" t="inlineStr">
        <x:is>
          <x:t xml:space="preserve">oz</x:t>
        </x:is>
      </x:c>
      <x:c r="S28" s="102" t="n">
        <x:f>'Ingredient Prices'!G32</x:f>
        <x:v>0.1038125</x:v>
      </x:c>
      <x:c r="T28" s="102" t="n">
        <x:f>Q28*S28</x:f>
        <x:v>0.788975</x:v>
      </x:c>
    </x:row>
    <x:row r="29">
      <x:c r="J29" t="inlineStr">
        <x:is>
          <x:t xml:space="preserve">Monthly Payroll ($)</x:t>
        </x:is>
      </x:c>
      <x:c r="K29" s="80" t="n"/>
      <x:c r="L29" t="inlineStr">
        <x:is>
          <x:t xml:space="preserve">Enter gross payroll for the same month</x:t>
        </x:is>
      </x:c>
      <x:c r="P29" t="inlineStr">
        <x:is>
          <x:t xml:space="preserve">Wrapping Paper</x:t>
        </x:is>
      </x:c>
      <x:c r="Q29" s="119" t="n">
        <x:v>1</x:v>
      </x:c>
      <x:c r="R29" t="inlineStr">
        <x:is>
          <x:t xml:space="preserve">sheet</x:t>
        </x:is>
      </x:c>
      <x:c r="S29" s="102" t="n">
        <x:f>'Ingredient Prices'!G25</x:f>
        <x:v>0.02</x:v>
      </x:c>
      <x:c r="T29" s="102" t="n">
        <x:f>Q29*S29</x:f>
        <x:v>0.02</x:v>
      </x:c>
    </x:row>
    <x:row r="30">
      <x:c r="J30" t="inlineStr">
        <x:is>
          <x:t xml:space="preserve">Rent ($)</x:t>
        </x:is>
      </x:c>
      <x:c r="K30" s="80" t="n">
        <x:v>1800</x:v>
      </x:c>
      <x:c r="L30" t="inlineStr">
        <x:is>
          <x:t xml:space="preserve">Current monthly rent</x:t>
        </x:is>
      </x:c>
      <x:c r="P30" s="83" t="str">
        <x:v>Breakfast Sausage</x:v>
      </x:c>
      <x:c r="Q30" s="120" t="n">
        <x:v>2</x:v>
      </x:c>
      <x:c r="R30" s="83" t="str">
        <x:v>each</x:v>
      </x:c>
      <x:c r="S30" s="117" t="n">
        <x:f>'Ingredient Prices'!G21</x:f>
        <x:v>0.19094999999999998</x:v>
      </x:c>
      <x:c r="T30" s="117" t="n">
        <x:f>Q30*S30</x:f>
        <x:v>0.38189999999999996</x:v>
      </x:c>
    </x:row>
    <x:row r="31">
      <x:c r="J31" t="inlineStr">
        <x:is>
          <x:t xml:space="preserve">Electricity + Gas ($)</x:t>
        </x:is>
      </x:c>
      <x:c r="K31" s="80" t="n">
        <x:v>1200</x:v>
      </x:c>
      <x:c r="L31" t="inlineStr">
        <x:is>
          <x:t xml:space="preserve">Current combined monthly estimate</x:t>
        </x:is>
      </x:c>
      <x:c r="P31" t="str">
        <x:v>TOTAL</x:v>
      </x:c>
      <x:c r="Q31" s="119" t="str"/>
      <x:c r="R31" t="str"/>
      <x:c r="S31" s="102" t="str"/>
      <x:c r="T31" s="102" t="n">
        <x:f>SUM(T24:T30)</x:f>
        <x:v>3.63478125</x:v>
      </x:c>
    </x:row>
    <x:row r="32">
      <x:c r="J32" t="inlineStr">
        <x:is>
          <x:t xml:space="preserve">Labor per Order ($)</x:t>
        </x:is>
      </x:c>
      <x:c r="K32" s="81" t="n">
        <x:f>IFERROR(K29/K28,0)</x:f>
        <x:v>0</x:v>
      </x:c>
      <x:c r="L32" t="inlineStr">
        <x:is>
          <x:t xml:space="preserve">Payroll ÷ monthly orders</x:t>
        </x:is>
      </x:c>
      <x:c r="P32" t="str">
        <x:v>Note</x:v>
      </x:c>
      <x:c r="Q32" s="119" t="str">
        <x:v>Includes 2 sausage links; no salsa</x:v>
      </x:c>
      <x:c r="R32" t="str"/>
      <x:c r="S32" t="str"/>
      <x:c r="T32" t="str"/>
    </x:row>
    <x:row r="33">
      <x:c r="J33" t="inlineStr">
        <x:is>
          <x:t xml:space="preserve">Overhead per Order ($)</x:t>
        </x:is>
      </x:c>
      <x:c r="K33" s="81" t="n">
        <x:f>IFERROR((K30+K31)/K28,0)</x:f>
        <x:v>0</x:v>
      </x:c>
      <x:c r="L33" t="inlineStr">
        <x:is>
          <x:t xml:space="preserve">(Rent + utilities) ÷ monthly orders</x:t>
        </x:is>
      </x:c>
    </x:row>
    <x:row r="34">
      <x:c r="J34" t="inlineStr">
        <x:is>
          <x:t xml:space="preserve">Labor % of Sales</x:t>
        </x:is>
      </x:c>
      <x:c r="K34" s="85" t="n">
        <x:f>IFERROR(K29/K27,0)</x:f>
        <x:v>0</x:v>
      </x:c>
      <x:c r="L34" t="inlineStr">
        <x:is>
          <x:t xml:space="preserve">Payroll ÷ sales</x:t>
        </x:is>
      </x:c>
    </x:row>
    <x:row r="36">
      <x:c r="J36" s="42" t="inlineStr">
        <x:is>
          <x:t xml:space="preserve">NOTE</x:t>
        </x:is>
      </x:c>
      <x:c r="K36" t="inlineStr">
        <x:is>
          <x:t xml:space="preserve">Enter Monthly Sales, Monthly Orders, and Monthly Payroll above. The fully loaded cost table will update automatically.</x:t>
        </x:is>
      </x:c>
    </x:row>
    <x:row r="37">
      <x:c r="K37" t="inlineStr">
        <x:is>
          <x:t xml:space="preserve">The current ingredient costs do not yet include every possible cost such as cotija, card fees, waste, or other operating expenses.</x:t>
        </x:is>
      </x:c>
    </x:row>
  </x:sheetData>
  <x:mergeCells>
    <x:mergeCell ref="A1:H1"/>
  </x:mergeCells>
  <x:conditionalFormatting sqref="F3:F9">
    <x:cfRule type="expression" dxfId="0" priority="1">
      <x:formula>F3&gt;35%</x:formula>
    </x:cfRule>
    <x:cfRule type="expression" dxfId="1" priority="2">
      <x:formula>AND(F3&gt;0,F3&lt;=30%)</x:formula>
    </x:cfRule>
  </x:conditionalFormatting>
  <x:conditionalFormatting sqref="W16:W20">
    <x:cfRule type="expression" dxfId="2" priority="3">
      <x:formula>AND(W16&gt;0,W16&lt;10%)</x:formula>
    </x:cfRule>
    <x:cfRule type="expression" dxfId="3" priority="4">
      <x:formula>W16&gt;=20%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23f110fa5047c6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style="30" customWidth="1"/>
    <x:col min="2" max="2" width="70" style="30" customWidth="1"/>
  </x:cols>
  <x:sheetData>
    <x:row r="1">
      <x:c r="A1" s="9" t="inlineStr">
        <x:is>
          <x:t xml:space="preserve">HOW TO USE THIS FOOD COST TEMPLATE</x:t>
        </x:is>
      </x:c>
      <x:c r="B1" s="1" t="n"/>
      <x:c r="C1" s="1" t="n"/>
      <x:c r="D1" s="1" t="n"/>
      <x:c r="E1" s="1" t="n"/>
      <x:c r="F1" s="1" t="n"/>
    </x:row>
    <x:row r="3">
      <x:c r="A3" s="14" t="inlineStr">
        <x:is>
          <x:t xml:space="preserve">Step</x:t>
        </x:is>
      </x:c>
      <x:c r="B3" s="14" t="inlineStr">
        <x:is>
          <x:t xml:space="preserve">What to do</x:t>
        </x:is>
      </x:c>
    </x:row>
    <x:row r="4">
      <x:c r="A4" t="inlineStr">
        <x:is>
          <x:t xml:space="preserve">1</x:t>
        </x:is>
      </x:c>
      <x:c r="B4" t="inlineStr">
        <x:is>
          <x:t xml:space="preserve">Enter current vendor prices and yields in Ingredient Prices.</x:t>
        </x:is>
      </x:c>
    </x:row>
    <x:row r="5">
      <x:c r="A5" t="inlineStr">
        <x:is>
          <x:t xml:space="preserve">2</x:t>
        </x:is>
      </x:c>
      <x:c r="B5" t="inlineStr">
        <x:is>
          <x:t xml:space="preserve">Select ingredients in Recipe Costing and enter the exact portion used.</x:t>
        </x:is>
      </x:c>
    </x:row>
    <x:row r="6">
      <x:c r="A6" t="inlineStr">
        <x:is>
          <x:t xml:space="preserve">3</x:t>
        </x:is>
      </x:c>
      <x:c r="B6" t="inlineStr">
        <x:is>
          <x:t xml:space="preserve">Add packaging cost for the container, bag, utensils, etc.</x:t>
        </x:is>
      </x:c>
    </x:row>
    <x:row r="7">
      <x:c r="A7" t="inlineStr">
        <x:is>
          <x:t xml:space="preserve">4</x:t>
        </x:is>
      </x:c>
      <x:c r="B7" t="inlineStr">
        <x:is>
          <x:t xml:space="preserve">Enter the selling price for each menu item.</x:t>
        </x:is>
      </x:c>
    </x:row>
    <x:row r="8">
      <x:c r="A8" t="inlineStr">
        <x:is>
          <x:t xml:space="preserve">5</x:t>
        </x:is>
      </x:c>
      <x:c r="B8" t="inlineStr">
        <x:is>
          <x:t xml:space="preserve">Menu Summary calculates food cost %, gross profit, and suggested price at a 30% target.</x:t>
        </x:is>
      </x:c>
    </x:row>
    <x:row r="9">
      <x:c r="A9" t="inlineStr">
        <x:is>
          <x:t xml:space="preserve">6</x:t>
        </x:is>
      </x:c>
      <x:c r="B9" t="inlineStr">
        <x:is>
          <x:t xml:space="preserve">Update vendor prices whenever costs change; menu costs update automatically.</x:t>
        </x:is>
      </x:c>
    </x:row>
  </x:sheetData>
  <x:mergeCells>
    <x:mergeCell ref="A1:F1"/>
  </x:mergeCells>
  <x:pageMargins left="0.7" right="0.7" top="0.75" bottom="0.75" header="0.3" footer="0.3"/>
</x:worksheet>
</file>